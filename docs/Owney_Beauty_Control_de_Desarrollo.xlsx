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de Desarrollo" sheetId="1" state="visible" r:id="rId1"/>
    <sheet name="Resumen" sheetId="2" state="visible" r:id="rId2"/>
    <sheet name="Sprints" sheetId="3" state="visible" r:id="rId3"/>
    <sheet name="Módulos" sheetId="4" state="visible" r:id="rId4"/>
    <sheet name="Cómo usar" sheetId="5" state="visible" r:id="rId5"/>
  </sheets>
  <definedNames>
    <definedName name="_xlnm._FilterDatabase" localSheetId="0" hidden="1">'Plan de Desarrollo'!$A$5:$N$425</definedName>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20"/>
    </font>
    <font>
      <name val="Calibri"/>
      <color rgb="00BFBFBF"/>
      <sz val="11"/>
    </font>
    <font>
      <i val="1"/>
      <color rgb="00BFBFBF"/>
      <sz val="9"/>
    </font>
    <font>
      <name val="Calibri"/>
      <b val="1"/>
      <color rgb="00FFFFFF"/>
      <sz val="11"/>
    </font>
    <font>
      <sz val="14"/>
    </font>
    <font>
      <b val="1"/>
      <color rgb="001F1F1F"/>
    </font>
    <font>
      <b val="1"/>
      <color rgb="00595959"/>
    </font>
    <font>
      <b val="1"/>
      <color rgb="008C8C8C"/>
    </font>
    <font>
      <b val="1"/>
      <color rgb="00BFBFBF"/>
    </font>
    <font>
      <b val="1"/>
      <sz val="13"/>
    </font>
    <font>
      <b val="1"/>
      <sz val="16"/>
    </font>
    <font>
      <b val="1"/>
    </font>
  </fonts>
  <fills count="4">
    <fill>
      <patternFill/>
    </fill>
    <fill>
      <patternFill patternType="gray125"/>
    </fill>
    <fill>
      <patternFill patternType="solid"/>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2">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2"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6"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6" fillId="3"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3"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pivotButton="0" quotePrefix="0" xfId="0"/>
    <xf numFmtId="0" fontId="4" fillId="2" borderId="0" applyAlignment="1" pivotButton="0" quotePrefix="0" xfId="0">
      <alignment horizontal="center" vertical="center" wrapText="1"/>
    </xf>
    <xf numFmtId="0" fontId="11" fillId="0" borderId="1" applyAlignment="1" pivotButton="0" quotePrefix="0" xfId="0">
      <alignment horizontal="center" vertical="center" wrapText="1"/>
    </xf>
    <xf numFmtId="164" fontId="11" fillId="0" borderId="1" applyAlignment="1" pivotButton="0" quotePrefix="0" xfId="0">
      <alignment horizontal="center" vertical="center" wrapText="1"/>
    </xf>
    <xf numFmtId="9" fontId="0" fillId="0" borderId="1" applyAlignment="1" pivotButton="0" quotePrefix="0" xfId="0">
      <alignment horizontal="center" vertical="center" wrapText="1"/>
    </xf>
    <xf numFmtId="0" fontId="12" fillId="0" borderId="0" pivotButton="0" quotePrefix="0" xfId="0"/>
    <xf numFmtId="0" fontId="12" fillId="0" borderId="0" applyAlignment="1" pivotButton="0" quotePrefix="0" xfId="0">
      <alignment horizontal="center" vertical="center" wrapText="1"/>
    </xf>
    <xf numFmtId="9" fontId="12" fillId="0" borderId="0" pivotButton="0" quotePrefix="0" xfId="0"/>
    <xf numFmtId="0" fontId="12" fillId="0" borderId="1" applyAlignment="1" pivotButton="0" quotePrefix="0" xfId="0">
      <alignment horizontal="center" vertical="center" wrapText="1"/>
    </xf>
    <xf numFmtId="0" fontId="12" fillId="0" borderId="1" applyAlignment="1" pivotButton="0" quotePrefix="0" xfId="0">
      <alignment horizontal="left" vertical="center" wrapText="1"/>
    </xf>
    <xf numFmtId="9" fontId="12" fillId="0" borderId="1"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dxfs count="2">
    <dxf>
      <font>
        <color rgb="002E6B30"/>
      </font>
      <fill>
        <patternFill patternType="solid">
          <fgColor rgb="00DFF0D8"/>
        </patternFill>
      </fill>
    </dxf>
    <dxf>
      <fill>
        <patternFill patternType="solid">
          <fgColor rgb="00FFF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33425" cy="876300"/>
    <pic>
      <nvPicPr>
        <cNvPr id="1" name="Image 1" descr="Picture"/>
        <cNvPicPr/>
      </nvPicPr>
      <blipFill>
        <a:blip cstate="print" r:embed="rId1"/>
        <a:stretch>
          <a:fillRect/>
        </a:stretch>
      </blipFill>
      <spPr>
        <a:prstGeom prst="rect"/>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33425" cy="876300"/>
    <pic>
      <nvPicPr>
        <cNvPr id="1" name="Image 1" descr="Picture"/>
        <cNvPicPr/>
      </nvPicPr>
      <blipFill>
        <a:blip cstate="print" r:embed="rId1"/>
        <a:stretch>
          <a:fillRect/>
        </a:stretch>
      </blipFill>
      <spPr>
        <a:prstGeom prst="rect"/>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33425" cy="876300"/>
    <pic>
      <nvPicPr>
        <cNvPr id="1" name="Image 1" descr="Picture"/>
        <cNvPicPr/>
      </nvPicPr>
      <blipFill>
        <a:blip cstate="print" r:embed="rId1"/>
        <a:stretch>
          <a:fillRect/>
        </a:stretch>
      </blipFill>
      <spPr>
        <a:prstGeom prst="rect"/>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33425" cy="876300"/>
    <pic>
      <nvPicPr>
        <cNvPr id="1" name="Image 1" descr="Picture"/>
        <cNvPicPr/>
      </nvPicPr>
      <blipFill>
        <a:blip cstate="print" r:embed="rId1"/>
        <a:stretch>
          <a:fillRect/>
        </a:stretch>
      </blipFill>
      <spPr>
        <a:prstGeom prst="rect"/>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33425" cy="876300"/>
    <pic>
      <nvPicPr>
        <cNvPr id="1" name="Image 1" descr="Picture"/>
        <cNvPicPr/>
      </nvPicPr>
      <blipFill>
        <a:blip cstate="print" r:embed="rId1"/>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tabColor rgb="00000000"/>
    <outlinePr summaryBelow="1" summaryRight="1"/>
    <pageSetUpPr/>
  </sheetPr>
  <dimension ref="A1:N425"/>
  <sheetViews>
    <sheetView zoomScale="90" workbookViewId="0">
      <pane xSplit="4" ySplit="5" topLeftCell="E6"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 customWidth="1" min="2" max="2"/>
    <col width="14" customWidth="1" min="3" max="3"/>
    <col width="11" customWidth="1" min="4" max="4"/>
    <col width="30" customWidth="1" min="5" max="5"/>
    <col width="15" customWidth="1" min="6" max="6"/>
    <col width="62" customWidth="1" min="7" max="7"/>
    <col width="15" customWidth="1" min="8" max="8"/>
    <col width="11" customWidth="1" min="9" max="9"/>
    <col width="9" customWidth="1" min="10" max="10"/>
    <col width="18" customWidth="1" min="11" max="11"/>
    <col width="24" customWidth="1" min="12" max="12"/>
    <col width="16" customWidth="1" min="13" max="13"/>
    <col width="30" customWidth="1" min="14" max="14"/>
  </cols>
  <sheetData>
    <row r="1" ht="24" customHeight="1">
      <c r="A1" s="1" t="n"/>
      <c r="B1" s="1" t="n"/>
      <c r="C1" s="1" t="n"/>
      <c r="D1" s="1" t="n"/>
      <c r="E1" s="1" t="n"/>
      <c r="F1" s="1" t="n"/>
      <c r="G1" s="1" t="n"/>
      <c r="H1" s="1" t="n"/>
      <c r="I1" s="1" t="n"/>
      <c r="J1" s="1" t="n"/>
      <c r="K1" s="1" t="n"/>
      <c r="L1" s="1" t="n"/>
      <c r="M1" s="1" t="n"/>
      <c r="N1" s="1" t="n"/>
    </row>
    <row r="2" ht="24" customHeight="1">
      <c r="A2" s="1" t="n"/>
      <c r="B2" s="1" t="n"/>
      <c r="C2" s="2" t="inlineStr">
        <is>
          <t>Control de Desarrollo</t>
        </is>
      </c>
      <c r="D2" s="1" t="n"/>
      <c r="E2" s="1" t="n"/>
      <c r="F2" s="1" t="n"/>
      <c r="G2" s="1" t="n"/>
      <c r="H2" s="1" t="n"/>
      <c r="I2" s="1" t="n"/>
      <c r="J2" s="1" t="n"/>
      <c r="K2" s="1" t="n"/>
      <c r="L2" s="1" t="n"/>
      <c r="M2" s="1" t="n"/>
      <c r="N2" s="1" t="n"/>
    </row>
    <row r="3" ht="24" customHeight="1">
      <c r="A3" s="1" t="n"/>
      <c r="B3" s="1" t="n"/>
      <c r="C3" s="3" t="inlineStr">
        <is>
          <t>Ordenado por importancia · 420 elementos · v2.0 · 2026-10-08</t>
        </is>
      </c>
      <c r="D3" s="1" t="n"/>
      <c r="E3" s="1" t="n"/>
      <c r="F3" s="1" t="n"/>
      <c r="G3" s="1" t="n"/>
      <c r="H3" s="1" t="n"/>
      <c r="I3" s="1" t="n"/>
      <c r="J3" s="1" t="n"/>
      <c r="K3" s="1" t="n"/>
      <c r="L3" s="1" t="n"/>
      <c r="M3" s="1" t="n"/>
      <c r="N3" s="1" t="n"/>
    </row>
    <row r="4" ht="24" customHeight="1">
      <c r="A4" s="1" t="n"/>
      <c r="B4" s="1" t="n"/>
      <c r="C4" s="4" t="inlineStr">
        <is>
          <t>Cambia la columna Estado (Pendiente / En progreso / Completo). La casilla ✔ se actualiza sola.</t>
        </is>
      </c>
      <c r="D4" s="1" t="n"/>
      <c r="E4" s="1" t="n"/>
      <c r="F4" s="1" t="n"/>
      <c r="G4" s="1" t="n"/>
      <c r="H4" s="1" t="n"/>
      <c r="I4" s="1" t="n"/>
      <c r="J4" s="1" t="n"/>
      <c r="K4" s="1" t="n"/>
      <c r="L4" s="1" t="n"/>
      <c r="M4" s="1" t="n"/>
      <c r="N4" s="1" t="n"/>
    </row>
    <row r="5" ht="30" customHeight="1">
      <c r="A5" s="5" t="inlineStr">
        <is>
          <t>Orden</t>
        </is>
      </c>
      <c r="B5" s="5" t="inlineStr">
        <is>
          <t>✔</t>
        </is>
      </c>
      <c r="C5" s="5" t="inlineStr">
        <is>
          <t>Estado</t>
        </is>
      </c>
      <c r="D5" s="5" t="inlineStr">
        <is>
          <t>ID</t>
        </is>
      </c>
      <c r="E5" s="5" t="inlineStr">
        <is>
          <t>Módulo</t>
        </is>
      </c>
      <c r="F5" s="5" t="inlineStr">
        <is>
          <t>Tipo</t>
        </is>
      </c>
      <c r="G5" s="5" t="inlineStr">
        <is>
          <t>Elemento</t>
        </is>
      </c>
      <c r="H5" s="5" t="inlineStr">
        <is>
          <t>Nivel</t>
        </is>
      </c>
      <c r="I5" s="5" t="inlineStr">
        <is>
          <t>Fase</t>
        </is>
      </c>
      <c r="J5" s="5" t="inlineStr">
        <is>
          <t>Sprint</t>
        </is>
      </c>
      <c r="K5" s="5" t="inlineStr">
        <is>
          <t>Grupo</t>
        </is>
      </c>
      <c r="L5" s="5" t="inlineStr">
        <is>
          <t>Historias (doc. maestro)</t>
        </is>
      </c>
      <c r="M5" s="5" t="inlineStr">
        <is>
          <t>Responsable</t>
        </is>
      </c>
      <c r="N5" s="5" t="inlineStr">
        <is>
          <t>Notas</t>
        </is>
      </c>
    </row>
    <row r="6">
      <c r="A6" s="6" t="n">
        <v>1</v>
      </c>
      <c r="B6" s="7">
        <f>IF(C6="Completo","☑",IF(C6="En progreso","◐","☐"))</f>
        <v/>
      </c>
      <c r="C6" s="6" t="inlineStr">
        <is>
          <t>Completo</t>
        </is>
      </c>
      <c r="D6" s="6" t="inlineStr">
        <is>
          <t>PLT-M06</t>
        </is>
      </c>
      <c r="E6" s="8" t="inlineStr">
        <is>
          <t>00 · Plataforma y Shared Kernel</t>
        </is>
      </c>
      <c r="F6" s="6" t="inlineStr">
        <is>
          <t>Mantenimiento</t>
        </is>
      </c>
      <c r="G6" s="8" t="inlineStr">
        <is>
          <t>Localización es/en con claves por módulo</t>
        </is>
      </c>
      <c r="H6" s="9" t="inlineStr">
        <is>
          <t>Imprescindible</t>
        </is>
      </c>
      <c r="I6" s="6" t="inlineStr">
        <is>
          <t>Fundación</t>
        </is>
      </c>
      <c r="J6" s="6" t="n">
        <v>0</v>
      </c>
      <c r="K6" s="8" t="inlineStr">
        <is>
          <t>Base</t>
        </is>
      </c>
      <c r="L6" s="8" t="inlineStr">
        <is>
          <t>§12</t>
        </is>
      </c>
      <c r="M6" s="8" t="inlineStr">
        <is>
          <t>Backend</t>
        </is>
      </c>
      <c r="N6" s="8" t="inlineStr">
        <is>
          <t>Solo es (defecto) y en; recursos Platform y Accounts</t>
        </is>
      </c>
    </row>
    <row r="7">
      <c r="A7" s="6" t="n">
        <v>2</v>
      </c>
      <c r="B7" s="7">
        <f>IF(C7="Completo","☑",IF(C7="En progreso","◐","☐"))</f>
        <v/>
      </c>
      <c r="C7" s="6" t="inlineStr">
        <is>
          <t>Completo</t>
        </is>
      </c>
      <c r="D7" s="6" t="inlineStr">
        <is>
          <t>PLT-F01</t>
        </is>
      </c>
      <c r="E7" s="8" t="inlineStr">
        <is>
          <t>00 · Plataforma y Shared Kernel</t>
        </is>
      </c>
      <c r="F7" s="6" t="inlineStr">
        <is>
          <t>Funcionalidad</t>
        </is>
      </c>
      <c r="G7" s="8" t="inlineStr">
        <is>
          <t>Eliminar ejemplo BookStore (código, seeds, tests, tablas)</t>
        </is>
      </c>
      <c r="H7" s="9" t="inlineStr">
        <is>
          <t>Imprescindible</t>
        </is>
      </c>
      <c r="I7" s="6" t="inlineStr">
        <is>
          <t>Fundación</t>
        </is>
      </c>
      <c r="J7" s="6" t="n">
        <v>0</v>
      </c>
      <c r="K7" s="8" t="inlineStr">
        <is>
          <t>Base</t>
        </is>
      </c>
      <c r="L7" s="8" t="inlineStr">
        <is>
          <t>—</t>
        </is>
      </c>
      <c r="M7" s="8" t="inlineStr">
        <is>
          <t>Backend</t>
        </is>
      </c>
      <c r="N7" s="8" t="inlineStr">
        <is>
          <t>Código, permisos, tests y tablas eliminados (migración)</t>
        </is>
      </c>
    </row>
    <row r="8">
      <c r="A8" s="6" t="n">
        <v>3</v>
      </c>
      <c r="B8" s="7">
        <f>IF(C8="Completo","☑",IF(C8="En progreso","◐","☐"))</f>
        <v/>
      </c>
      <c r="C8" s="6" t="inlineStr">
        <is>
          <t>Completo</t>
        </is>
      </c>
      <c r="D8" s="6" t="inlineStr">
        <is>
          <t>PLT-F02</t>
        </is>
      </c>
      <c r="E8" s="8" t="inlineStr">
        <is>
          <t>00 · Plataforma y Shared Kernel</t>
        </is>
      </c>
      <c r="F8" s="6" t="inlineStr">
        <is>
          <t>Funcionalidad</t>
        </is>
      </c>
      <c r="G8" s="8" t="inlineStr">
        <is>
          <t>Desactivar multi-tenancy y quitar “código de empresa” del login</t>
        </is>
      </c>
      <c r="H8" s="9" t="inlineStr">
        <is>
          <t>Imprescindible</t>
        </is>
      </c>
      <c r="I8" s="6" t="inlineStr">
        <is>
          <t>Fundación</t>
        </is>
      </c>
      <c r="J8" s="6" t="n">
        <v>0</v>
      </c>
      <c r="K8" s="8" t="inlineStr">
        <is>
          <t>Base</t>
        </is>
      </c>
      <c r="L8" s="8" t="inlineStr">
        <is>
          <t>ADR-02</t>
        </is>
      </c>
      <c r="M8" s="8" t="inlineStr">
        <is>
          <t>Backend</t>
        </is>
      </c>
      <c r="N8" s="8" t="inlineStr">
        <is>
          <t>Desactivado en API. La UI debe quitar el campo (ver prompt UI)</t>
        </is>
      </c>
    </row>
    <row r="9">
      <c r="A9" s="6" t="n">
        <v>4</v>
      </c>
      <c r="B9" s="7">
        <f>IF(C9="Completo","☑",IF(C9="En progreso","◐","☐"))</f>
        <v/>
      </c>
      <c r="C9" s="6" t="inlineStr">
        <is>
          <t>En progreso</t>
        </is>
      </c>
      <c r="D9" s="6" t="inlineStr">
        <is>
          <t>PLT-F03</t>
        </is>
      </c>
      <c r="E9" s="8" t="inlineStr">
        <is>
          <t>00 · Plataforma y Shared Kernel</t>
        </is>
      </c>
      <c r="F9" s="6" t="inlineStr">
        <is>
          <t>Funcionalidad</t>
        </is>
      </c>
      <c r="G9" s="8" t="inlineStr">
        <is>
          <t>Secretos fuera del repo + rotar credencial de PostgreSQL</t>
        </is>
      </c>
      <c r="H9" s="9" t="inlineStr">
        <is>
          <t>Imprescindible</t>
        </is>
      </c>
      <c r="I9" s="6" t="inlineStr">
        <is>
          <t>Fundación</t>
        </is>
      </c>
      <c r="J9" s="6" t="n">
        <v>0</v>
      </c>
      <c r="K9" s="8" t="inlineStr">
        <is>
          <t>Base</t>
        </is>
      </c>
      <c r="L9" s="8" t="inlineStr">
        <is>
          <t>OB-47-007</t>
        </is>
      </c>
      <c r="M9" s="8" t="inlineStr">
        <is>
          <t>Backend</t>
        </is>
      </c>
      <c r="N9" s="8" t="inlineStr">
        <is>
          <t>Fuera del repo y de las imágenes. PENDIENTE: rotar la contraseña en Railway (sigue en el historial de git)</t>
        </is>
      </c>
    </row>
    <row r="10">
      <c r="A10" s="6" t="n">
        <v>5</v>
      </c>
      <c r="B10" s="7">
        <f>IF(C10="Completo","☑",IF(C10="En progreso","◐","☐"))</f>
        <v/>
      </c>
      <c r="C10" s="6" t="inlineStr">
        <is>
          <t>Completo</t>
        </is>
      </c>
      <c r="D10" s="6" t="inlineStr">
        <is>
          <t>PLT-F04</t>
        </is>
      </c>
      <c r="E10" s="8" t="inlineStr">
        <is>
          <t>00 · Plataforma y Shared Kernel</t>
        </is>
      </c>
      <c r="F10" s="6" t="inlineStr">
        <is>
          <t>Funcionalidad</t>
        </is>
      </c>
      <c r="G10" s="8" t="inlineStr">
        <is>
          <t>Plantilla de módulo + pruebas automáticas de arquitectura</t>
        </is>
      </c>
      <c r="H10" s="9" t="inlineStr">
        <is>
          <t>Imprescindible</t>
        </is>
      </c>
      <c r="I10" s="6" t="inlineStr">
        <is>
          <t>Fundación</t>
        </is>
      </c>
      <c r="J10" s="6" t="n">
        <v>0</v>
      </c>
      <c r="K10" s="8" t="inlineStr">
        <is>
          <t>Base</t>
        </is>
      </c>
      <c r="L10" s="8" t="inlineStr">
        <is>
          <t>TECH-02-001</t>
        </is>
      </c>
      <c r="M10" s="8" t="inlineStr">
        <is>
          <t>Backend</t>
        </is>
      </c>
      <c r="N10" s="8" t="inlineStr">
        <is>
          <t>modules/&lt;modulo&gt; con 5 capas + 32 pruebas de arquitectura</t>
        </is>
      </c>
    </row>
    <row r="11">
      <c r="A11" s="6" t="n">
        <v>6</v>
      </c>
      <c r="B11" s="7">
        <f>IF(C11="Completo","☑",IF(C11="En progreso","◐","☐"))</f>
        <v/>
      </c>
      <c r="C11" s="6" t="inlineStr">
        <is>
          <t>Completo</t>
        </is>
      </c>
      <c r="D11" s="6" t="inlineStr">
        <is>
          <t>PLT-F05</t>
        </is>
      </c>
      <c r="E11" s="8" t="inlineStr">
        <is>
          <t>00 · Plataforma y Shared Kernel</t>
        </is>
      </c>
      <c r="F11" s="6" t="inlineStr">
        <is>
          <t>Funcionalidad</t>
        </is>
      </c>
      <c r="G11" s="8" t="inlineStr">
        <is>
          <t>Fechas en UTC (timestamptz); quitar modo legacy de Npgsql</t>
        </is>
      </c>
      <c r="H11" s="9" t="inlineStr">
        <is>
          <t>Imprescindible</t>
        </is>
      </c>
      <c r="I11" s="6" t="inlineStr">
        <is>
          <t>Fundación</t>
        </is>
      </c>
      <c r="J11" s="6" t="n">
        <v>0</v>
      </c>
      <c r="K11" s="8" t="inlineStr">
        <is>
          <t>Base</t>
        </is>
      </c>
      <c r="L11" s="8" t="inlineStr">
        <is>
          <t>ADR-06</t>
        </is>
      </c>
      <c r="M11" s="8" t="inlineStr">
        <is>
          <t>Backend</t>
        </is>
      </c>
      <c r="N11" s="8" t="inlineStr">
        <is>
          <t>AbpClock UTC; 72 columnas migradas a timestamptz</t>
        </is>
      </c>
    </row>
    <row r="12">
      <c r="A12" s="6" t="n">
        <v>7</v>
      </c>
      <c r="B12" s="7">
        <f>IF(C12="Completo","☑",IF(C12="En progreso","◐","☐"))</f>
        <v/>
      </c>
      <c r="C12" s="6" t="inlineStr">
        <is>
          <t>Completo</t>
        </is>
      </c>
      <c r="D12" s="6" t="inlineStr">
        <is>
          <t>PLT-F06</t>
        </is>
      </c>
      <c r="E12" s="8" t="inlineStr">
        <is>
          <t>00 · Plataforma y Shared Kernel</t>
        </is>
      </c>
      <c r="F12" s="6" t="inlineStr">
        <is>
          <t>Funcionalidad</t>
        </is>
      </c>
      <c r="G12" s="8" t="inlineStr">
        <is>
          <t>Security headers, CORS estricto, PII desactivada en logs</t>
        </is>
      </c>
      <c r="H12" s="9" t="inlineStr">
        <is>
          <t>Imprescindible</t>
        </is>
      </c>
      <c r="I12" s="6" t="inlineStr">
        <is>
          <t>Fundación</t>
        </is>
      </c>
      <c r="J12" s="6" t="n">
        <v>0</v>
      </c>
      <c r="K12" s="8" t="inlineStr">
        <is>
          <t>Base</t>
        </is>
      </c>
      <c r="L12" s="8" t="inlineStr">
        <is>
          <t>OB-47-001</t>
        </is>
      </c>
      <c r="M12" s="8" t="inlineStr">
        <is>
          <t>Backend</t>
        </is>
      </c>
      <c r="N12" s="8" t="inlineStr">
        <is>
          <t>HSTS, headers ABP, CORS por config, DisablePII=true</t>
        </is>
      </c>
    </row>
    <row r="13">
      <c r="A13" s="6" t="n">
        <v>8</v>
      </c>
      <c r="B13" s="7">
        <f>IF(C13="Completo","☑",IF(C13="En progreso","◐","☐"))</f>
        <v/>
      </c>
      <c r="C13" s="6" t="inlineStr">
        <is>
          <t>Completo</t>
        </is>
      </c>
      <c r="D13" s="6" t="inlineStr">
        <is>
          <t>DEV-M01</t>
        </is>
      </c>
      <c r="E13" s="8" t="inlineStr">
        <is>
          <t>DEV · Operación, Calidad y Entrega</t>
        </is>
      </c>
      <c r="F13" s="6" t="inlineStr">
        <is>
          <t>Mantenimiento</t>
        </is>
      </c>
      <c r="G13" s="8" t="inlineStr">
        <is>
          <t>Entorno Development</t>
        </is>
      </c>
      <c r="H13" s="9" t="inlineStr">
        <is>
          <t>Imprescindible</t>
        </is>
      </c>
      <c r="I13" s="6" t="inlineStr">
        <is>
          <t>Fundación</t>
        </is>
      </c>
      <c r="J13" s="6" t="n">
        <v>0</v>
      </c>
      <c r="K13" s="8" t="inlineStr">
        <is>
          <t>Áreas transversales</t>
        </is>
      </c>
      <c r="L13" s="8" t="inlineStr">
        <is>
          <t>ENV-01-001</t>
        </is>
      </c>
      <c r="M13" s="8" t="inlineStr">
        <is>
          <t>Backend</t>
        </is>
      </c>
      <c r="N13" s="8" t="inlineStr">
        <is>
          <t>PostgreSQL local en Docker + appsettings.secrets.json ignorado</t>
        </is>
      </c>
    </row>
    <row r="14">
      <c r="A14" s="6" t="n">
        <v>9</v>
      </c>
      <c r="B14" s="7">
        <f>IF(C14="Completo","☑",IF(C14="En progreso","◐","☐"))</f>
        <v/>
      </c>
      <c r="C14" s="6" t="inlineStr">
        <is>
          <t>Completo</t>
        </is>
      </c>
      <c r="D14" s="6" t="inlineStr">
        <is>
          <t>DEV-F01</t>
        </is>
      </c>
      <c r="E14" s="8" t="inlineStr">
        <is>
          <t>DEV · Operación, Calidad y Entrega</t>
        </is>
      </c>
      <c r="F14" s="6" t="inlineStr">
        <is>
          <t>Funcionalidad</t>
        </is>
      </c>
      <c r="G14" s="8" t="inlineStr">
        <is>
          <t>Dockerfiles multi-stage con $PORT</t>
        </is>
      </c>
      <c r="H14" s="9" t="inlineStr">
        <is>
          <t>Imprescindible</t>
        </is>
      </c>
      <c r="I14" s="6" t="inlineStr">
        <is>
          <t>Fundación</t>
        </is>
      </c>
      <c r="J14" s="6" t="n">
        <v>0</v>
      </c>
      <c r="K14" s="8" t="inlineStr">
        <is>
          <t>Áreas transversales</t>
        </is>
      </c>
      <c r="L14" s="8" t="inlineStr">
        <is>
          <t>RELEASE-01-001</t>
        </is>
      </c>
      <c r="M14" s="8" t="inlineStr">
        <is>
          <t>Backend</t>
        </is>
      </c>
      <c r="N14" s="8" t="inlineStr">
        <is>
          <t>Dockerfile raíz: API + Worker + Migrador en una imagen</t>
        </is>
      </c>
    </row>
    <row r="15">
      <c r="A15" s="6" t="n">
        <v>10</v>
      </c>
      <c r="B15" s="7">
        <f>IF(C15="Completo","☑",IF(C15="En progreso","◐","☐"))</f>
        <v/>
      </c>
      <c r="C15" s="6" t="inlineStr">
        <is>
          <t>En progreso</t>
        </is>
      </c>
      <c r="D15" s="6" t="inlineStr">
        <is>
          <t>DEV-F02</t>
        </is>
      </c>
      <c r="E15" s="8" t="inlineStr">
        <is>
          <t>DEV · Operación, Calidad y Entrega</t>
        </is>
      </c>
      <c r="F15" s="6" t="inlineStr">
        <is>
          <t>Funcionalidad</t>
        </is>
      </c>
      <c r="G15" s="8" t="inlineStr">
        <is>
          <t>Servicios Railway (api, worker, migrator, web, postgres, redis)</t>
        </is>
      </c>
      <c r="H15" s="9" t="inlineStr">
        <is>
          <t>Imprescindible</t>
        </is>
      </c>
      <c r="I15" s="6" t="inlineStr">
        <is>
          <t>Fundación</t>
        </is>
      </c>
      <c r="J15" s="6" t="n">
        <v>0</v>
      </c>
      <c r="K15" s="8" t="inlineStr">
        <is>
          <t>Áreas transversales</t>
        </is>
      </c>
      <c r="L15" s="8" t="inlineStr">
        <is>
          <t>ENV-01</t>
        </is>
      </c>
      <c r="M15" s="8" t="inlineStr">
        <is>
          <t>Backend</t>
        </is>
      </c>
      <c r="N15" s="8" t="inlineStr">
        <is>
          <t>railway/api.railway.json y worker.railway.json listos; falta crear los servicios en Railway</t>
        </is>
      </c>
    </row>
    <row r="16">
      <c r="A16" s="6" t="n">
        <v>11</v>
      </c>
      <c r="B16" s="7">
        <f>IF(C16="Completo","☑",IF(C16="En progreso","◐","☐"))</f>
        <v/>
      </c>
      <c r="C16" s="6" t="inlineStr">
        <is>
          <t>En progreso</t>
        </is>
      </c>
      <c r="D16" s="6" t="inlineStr">
        <is>
          <t>DEV-F03</t>
        </is>
      </c>
      <c r="E16" s="8" t="inlineStr">
        <is>
          <t>DEV · Operación, Calidad y Entrega</t>
        </is>
      </c>
      <c r="F16" s="6" t="inlineStr">
        <is>
          <t>Funcionalidad</t>
        </is>
      </c>
      <c r="G16" s="8" t="inlineStr">
        <is>
          <t>Certificados OpenIddict de producción</t>
        </is>
      </c>
      <c r="H16" s="9" t="inlineStr">
        <is>
          <t>Imprescindible</t>
        </is>
      </c>
      <c r="I16" s="6" t="inlineStr">
        <is>
          <t>Fundación</t>
        </is>
      </c>
      <c r="J16" s="6" t="n">
        <v>0</v>
      </c>
      <c r="K16" s="8" t="inlineStr">
        <is>
          <t>Áreas transversales</t>
        </is>
      </c>
      <c r="L16" s="8" t="inlineStr">
        <is>
          <t>RELEASE-01-001</t>
        </is>
      </c>
      <c r="M16" s="8" t="inlineStr">
        <is>
          <t>Backend</t>
        </is>
      </c>
      <c r="N16" s="8" t="inlineStr">
        <is>
          <t>Soporta AuthServer__CertificateBase64; falta generar el certificado de producción</t>
        </is>
      </c>
    </row>
    <row r="17">
      <c r="A17" s="6" t="n">
        <v>12</v>
      </c>
      <c r="B17" s="7">
        <f>IF(C17="Completo","☑",IF(C17="En progreso","◐","☐"))</f>
        <v/>
      </c>
      <c r="C17" s="6" t="inlineStr">
        <is>
          <t>En progreso</t>
        </is>
      </c>
      <c r="D17" s="6" t="inlineStr">
        <is>
          <t>DEV-F04</t>
        </is>
      </c>
      <c r="E17" s="8" t="inlineStr">
        <is>
          <t>DEV · Operación, Calidad y Entrega</t>
        </is>
      </c>
      <c r="F17" s="6" t="inlineStr">
        <is>
          <t>Funcionalidad</t>
        </is>
      </c>
      <c r="G17" s="8" t="inlineStr">
        <is>
          <t>CI en cada PR (build, tests, scans)</t>
        </is>
      </c>
      <c r="H17" s="9" t="inlineStr">
        <is>
          <t>Imprescindible</t>
        </is>
      </c>
      <c r="I17" s="6" t="inlineStr">
        <is>
          <t>Fundación</t>
        </is>
      </c>
      <c r="J17" s="6" t="n">
        <v>0</v>
      </c>
      <c r="K17" s="8" t="inlineStr">
        <is>
          <t>Áreas transversales</t>
        </is>
      </c>
      <c r="L17" s="8" t="inlineStr">
        <is>
          <t>DEVOPS-01-001</t>
        </is>
      </c>
      <c r="M17" s="8" t="inlineStr">
        <is>
          <t>Backend</t>
        </is>
      </c>
      <c r="N17" s="8" t="inlineStr">
        <is>
          <t>.github/workflows/ci.yml listo; falta primera ejecución en GitHub</t>
        </is>
      </c>
    </row>
    <row r="18">
      <c r="A18" s="6" t="n">
        <v>13</v>
      </c>
      <c r="B18" s="7">
        <f>IF(C18="Completo","☑",IF(C18="En progreso","◐","☐"))</f>
        <v/>
      </c>
      <c r="C18" s="6" t="inlineStr">
        <is>
          <t>Completo</t>
        </is>
      </c>
      <c r="D18" s="6" t="inlineStr">
        <is>
          <t>DEV-F05</t>
        </is>
      </c>
      <c r="E18" s="8" t="inlineStr">
        <is>
          <t>DEV · Operación, Calidad y Entrega</t>
        </is>
      </c>
      <c r="F18" s="6" t="inlineStr">
        <is>
          <t>Funcionalidad</t>
        </is>
      </c>
      <c r="G18" s="8" t="inlineStr">
        <is>
          <t>Migraciones versionadas (expand/contract)</t>
        </is>
      </c>
      <c r="H18" s="9" t="inlineStr">
        <is>
          <t>Imprescindible</t>
        </is>
      </c>
      <c r="I18" s="6" t="inlineStr">
        <is>
          <t>Fundación</t>
        </is>
      </c>
      <c r="J18" s="6" t="n">
        <v>0</v>
      </c>
      <c r="K18" s="8" t="inlineStr">
        <is>
          <t>Áreas transversales</t>
        </is>
      </c>
      <c r="L18" s="8" t="inlineStr">
        <is>
          <t>RELEASE-06</t>
        </is>
      </c>
      <c r="M18" s="8" t="inlineStr">
        <is>
          <t>Backend</t>
        </is>
      </c>
      <c r="N18" s="8" t="inlineStr">
        <is>
          <t>Migración Owney_Foundation_S0_S2 probada en PostgreSQL 16</t>
        </is>
      </c>
    </row>
    <row r="19">
      <c r="A19" s="10" t="n">
        <v>14</v>
      </c>
      <c r="B19" s="11">
        <f>IF(C19="Completo","☑",IF(C19="En progreso","◐","☐"))</f>
        <v/>
      </c>
      <c r="C19" s="10" t="inlineStr">
        <is>
          <t>En progreso</t>
        </is>
      </c>
      <c r="D19" s="10" t="inlineStr">
        <is>
          <t>PLT-M01</t>
        </is>
      </c>
      <c r="E19" s="12" t="inlineStr">
        <is>
          <t>00 · Plataforma y Shared Kernel</t>
        </is>
      </c>
      <c r="F19" s="10" t="inlineStr">
        <is>
          <t>Mantenimiento</t>
        </is>
      </c>
      <c r="G19" s="12" t="inlineStr">
        <is>
          <t>Catálogo geográfico RD (provincias, municipios, sectores)</t>
        </is>
      </c>
      <c r="H19" s="13" t="inlineStr">
        <is>
          <t>Imprescindible</t>
        </is>
      </c>
      <c r="I19" s="10" t="inlineStr">
        <is>
          <t>Fundación</t>
        </is>
      </c>
      <c r="J19" s="10" t="n">
        <v>1</v>
      </c>
      <c r="K19" s="12" t="inlineStr">
        <is>
          <t>Base</t>
        </is>
      </c>
      <c r="L19" s="12" t="inlineStr">
        <is>
          <t>OB-14-001, OB-09-002</t>
        </is>
      </c>
      <c r="M19" s="12" t="inlineStr">
        <is>
          <t>Backend</t>
        </is>
      </c>
      <c r="N19" s="12" t="inlineStr">
        <is>
          <t>32 provincias + 38 municipios de lanzamiento. Falta importar listado oficial ONE completo y sectores</t>
        </is>
      </c>
    </row>
    <row r="20">
      <c r="A20" s="10" t="n">
        <v>15</v>
      </c>
      <c r="B20" s="11">
        <f>IF(C20="Completo","☑",IF(C20="En progreso","◐","☐"))</f>
        <v/>
      </c>
      <c r="C20" s="10" t="inlineStr">
        <is>
          <t>Completo</t>
        </is>
      </c>
      <c r="D20" s="10" t="inlineStr">
        <is>
          <t>PLT-M02</t>
        </is>
      </c>
      <c r="E20" s="12" t="inlineStr">
        <is>
          <t>00 · Plataforma y Shared Kernel</t>
        </is>
      </c>
      <c r="F20" s="10" t="inlineStr">
        <is>
          <t>Mantenimiento</t>
        </is>
      </c>
      <c r="G20" s="12" t="inlineStr">
        <is>
          <t>Monedas y formatos (DOP por defecto)</t>
        </is>
      </c>
      <c r="H20" s="13" t="inlineStr">
        <is>
          <t>Imprescindible</t>
        </is>
      </c>
      <c r="I20" s="10" t="inlineStr">
        <is>
          <t>Fundación</t>
        </is>
      </c>
      <c r="J20" s="10" t="n">
        <v>1</v>
      </c>
      <c r="K20" s="12" t="inlineStr">
        <is>
          <t>Base</t>
        </is>
      </c>
      <c r="L20" s="12" t="inlineStr">
        <is>
          <t>§12</t>
        </is>
      </c>
      <c r="M20" s="12" t="inlineStr">
        <is>
          <t>Backend</t>
        </is>
      </c>
      <c r="N20" s="12" t="inlineStr">
        <is>
          <t>DOP predeterminada + USD; mantenimiento /api/platform/currency</t>
        </is>
      </c>
    </row>
    <row r="21">
      <c r="A21" s="10" t="n">
        <v>16</v>
      </c>
      <c r="B21" s="11">
        <f>IF(C21="Completo","☑",IF(C21="En progreso","◐","☐"))</f>
        <v/>
      </c>
      <c r="C21" s="10" t="inlineStr">
        <is>
          <t>Completo</t>
        </is>
      </c>
      <c r="D21" s="10" t="inlineStr">
        <is>
          <t>PLT-M03</t>
        </is>
      </c>
      <c r="E21" s="12" t="inlineStr">
        <is>
          <t>00 · Plataforma y Shared Kernel</t>
        </is>
      </c>
      <c r="F21" s="10" t="inlineStr">
        <is>
          <t>Mantenimiento</t>
        </is>
      </c>
      <c r="G21" s="12" t="inlineStr">
        <is>
          <t>Impuestos (ITBIS) por mercado y vigencia</t>
        </is>
      </c>
      <c r="H21" s="13" t="inlineStr">
        <is>
          <t>Imprescindible</t>
        </is>
      </c>
      <c r="I21" s="10" t="inlineStr">
        <is>
          <t>Fundación</t>
        </is>
      </c>
      <c r="J21" s="10" t="n">
        <v>1</v>
      </c>
      <c r="K21" s="12" t="inlineStr">
        <is>
          <t>Base</t>
        </is>
      </c>
      <c r="L21" s="12" t="inlineStr">
        <is>
          <t>OB-08-001, OB-33-005</t>
        </is>
      </c>
      <c r="M21" s="12" t="inlineStr">
        <is>
          <t>Backend</t>
        </is>
      </c>
      <c r="N21" s="12" t="inlineStr">
        <is>
          <t>ITBIS 18 % sembrado; vigencias; /api/platform/tax-rate</t>
        </is>
      </c>
    </row>
    <row r="22">
      <c r="A22" s="10" t="n">
        <v>17</v>
      </c>
      <c r="B22" s="11">
        <f>IF(C22="Completo","☑",IF(C22="En progreso","◐","☐"))</f>
        <v/>
      </c>
      <c r="C22" s="10" t="inlineStr">
        <is>
          <t>Completo</t>
        </is>
      </c>
      <c r="D22" s="10" t="inlineStr">
        <is>
          <t>PLT-M04</t>
        </is>
      </c>
      <c r="E22" s="12" t="inlineStr">
        <is>
          <t>00 · Plataforma y Shared Kernel</t>
        </is>
      </c>
      <c r="F22" s="10" t="inlineStr">
        <is>
          <t>Mantenimiento</t>
        </is>
      </c>
      <c r="G22" s="12" t="inlineStr">
        <is>
          <t>Settings de plataforma por módulo</t>
        </is>
      </c>
      <c r="H22" s="13" t="inlineStr">
        <is>
          <t>Imprescindible</t>
        </is>
      </c>
      <c r="I22" s="10" t="inlineStr">
        <is>
          <t>Fundación</t>
        </is>
      </c>
      <c r="J22" s="10" t="n">
        <v>1</v>
      </c>
      <c r="K22" s="12" t="inlineStr">
        <is>
          <t>Base</t>
        </is>
      </c>
      <c r="L22" s="12" t="inlineStr">
        <is>
          <t>—</t>
        </is>
      </c>
      <c r="M22" s="12" t="inlineStr">
        <is>
          <t>Backend</t>
        </is>
      </c>
      <c r="N22" s="12" t="inlineStr">
        <is>
          <t>Settings Platform y Accounts (mercado, moneda, zona horaria, verificación)</t>
        </is>
      </c>
    </row>
    <row r="23">
      <c r="A23" s="10" t="n">
        <v>18</v>
      </c>
      <c r="B23" s="11">
        <f>IF(C23="Completo","☑",IF(C23="En progreso","◐","☐"))</f>
        <v/>
      </c>
      <c r="C23" s="10" t="inlineStr">
        <is>
          <t>En progreso</t>
        </is>
      </c>
      <c r="D23" s="10" t="inlineStr">
        <is>
          <t>PLT-M05</t>
        </is>
      </c>
      <c r="E23" s="12" t="inlineStr">
        <is>
          <t>00 · Plataforma y Shared Kernel</t>
        </is>
      </c>
      <c r="F23" s="10" t="inlineStr">
        <is>
          <t>Mantenimiento</t>
        </is>
      </c>
      <c r="G23" s="12" t="inlineStr">
        <is>
          <t>Feature flags por módulo</t>
        </is>
      </c>
      <c r="H23" s="13" t="inlineStr">
        <is>
          <t>Imprescindible</t>
        </is>
      </c>
      <c r="I23" s="10" t="inlineStr">
        <is>
          <t>Fundación</t>
        </is>
      </c>
      <c r="J23" s="10" t="n">
        <v>1</v>
      </c>
      <c r="K23" s="12" t="inlineStr">
        <is>
          <t>Base</t>
        </is>
      </c>
      <c r="L23" s="12" t="inlineStr">
        <is>
          <t>DEVOPS-01-003</t>
        </is>
      </c>
      <c r="M23" s="12" t="inlineStr">
        <is>
          <t>Backend</t>
        </is>
      </c>
      <c r="N23" s="12" t="inlineStr">
        <is>
          <t>Definidos Owney.Social/Bookings/HomeService/Payments/Messaging; falta UI/gestión</t>
        </is>
      </c>
    </row>
    <row r="24">
      <c r="A24" s="10" t="n">
        <v>19</v>
      </c>
      <c r="B24" s="11">
        <f>IF(C24="Completo","☑",IF(C24="En progreso","◐","☐"))</f>
        <v/>
      </c>
      <c r="C24" s="10" t="inlineStr">
        <is>
          <t>Completo</t>
        </is>
      </c>
      <c r="D24" s="10" t="inlineStr">
        <is>
          <t>PLT-F07</t>
        </is>
      </c>
      <c r="E24" s="12" t="inlineStr">
        <is>
          <t>00 · Plataforma y Shared Kernel</t>
        </is>
      </c>
      <c r="F24" s="10" t="inlineStr">
        <is>
          <t>Funcionalidad</t>
        </is>
      </c>
      <c r="G24" s="12" t="inlineStr">
        <is>
          <t>Shared Kernel (value objects, errores con código)</t>
        </is>
      </c>
      <c r="H24" s="13" t="inlineStr">
        <is>
          <t>Imprescindible</t>
        </is>
      </c>
      <c r="I24" s="10" t="inlineStr">
        <is>
          <t>Fundación</t>
        </is>
      </c>
      <c r="J24" s="10" t="n">
        <v>1</v>
      </c>
      <c r="K24" s="12" t="inlineStr">
        <is>
          <t>Base</t>
        </is>
      </c>
      <c r="L24" s="12" t="inlineStr">
        <is>
          <t>TECH-01-001</t>
        </is>
      </c>
      <c r="M24" s="12" t="inlineStr">
        <is>
          <t>Backend</t>
        </is>
      </c>
      <c r="N24" s="12" t="inlineStr">
        <is>
          <t>Money, GeoPoint, DateTimeRange, OwneyErrorCodes, IBusinessAuditLogger</t>
        </is>
      </c>
    </row>
    <row r="25">
      <c r="A25" s="10" t="n">
        <v>20</v>
      </c>
      <c r="B25" s="11">
        <f>IF(C25="Completo","☑",IF(C25="En progreso","◐","☐"))</f>
        <v/>
      </c>
      <c r="C25" s="10" t="inlineStr">
        <is>
          <t>Completo</t>
        </is>
      </c>
      <c r="D25" s="10" t="inlineStr">
        <is>
          <t>PLT-F08</t>
        </is>
      </c>
      <c r="E25" s="12" t="inlineStr">
        <is>
          <t>00 · Plataforma y Shared Kernel</t>
        </is>
      </c>
      <c r="F25" s="10" t="inlineStr">
        <is>
          <t>Funcionalidad</t>
        </is>
      </c>
      <c r="G25" s="12" t="inlineStr">
        <is>
          <t>Idempotency-Key en operaciones críticas</t>
        </is>
      </c>
      <c r="H25" s="13" t="inlineStr">
        <is>
          <t>Imprescindible</t>
        </is>
      </c>
      <c r="I25" s="10" t="inlineStr">
        <is>
          <t>Fundación</t>
        </is>
      </c>
      <c r="J25" s="10" t="n">
        <v>1</v>
      </c>
      <c r="K25" s="12" t="inlineStr">
        <is>
          <t>Base</t>
        </is>
      </c>
      <c r="L25" s="12" t="inlineStr">
        <is>
          <t>OB-17-004, QA-01-002</t>
        </is>
      </c>
      <c r="M25" s="12" t="inlineStr">
        <is>
          <t>Backend</t>
        </is>
      </c>
      <c r="N25" s="12" t="inlineStr">
        <is>
          <t>Middleware + tabla; probado: replay, 422 y 409</t>
        </is>
      </c>
    </row>
    <row r="26">
      <c r="A26" s="10" t="n">
        <v>21</v>
      </c>
      <c r="B26" s="11">
        <f>IF(C26="Completo","☑",IF(C26="En progreso","◐","☐"))</f>
        <v/>
      </c>
      <c r="C26" s="10" t="inlineStr">
        <is>
          <t>Completo</t>
        </is>
      </c>
      <c r="D26" s="10" t="inlineStr">
        <is>
          <t>PLT-F09</t>
        </is>
      </c>
      <c r="E26" s="12" t="inlineStr">
        <is>
          <t>00 · Plataforma y Shared Kernel</t>
        </is>
      </c>
      <c r="F26" s="10" t="inlineStr">
        <is>
          <t>Funcionalidad</t>
        </is>
      </c>
      <c r="G26" s="12" t="inlineStr">
        <is>
          <t>Event bus distribuido con Outbox/Inbox</t>
        </is>
      </c>
      <c r="H26" s="13" t="inlineStr">
        <is>
          <t>Imprescindible</t>
        </is>
      </c>
      <c r="I26" s="10" t="inlineStr">
        <is>
          <t>Fundación</t>
        </is>
      </c>
      <c r="J26" s="10" t="n">
        <v>1</v>
      </c>
      <c r="K26" s="12" t="inlineStr">
        <is>
          <t>Base</t>
        </is>
      </c>
      <c r="L26" s="12" t="inlineStr">
        <is>
          <t>TECH-02-001</t>
        </is>
      </c>
      <c r="M26" s="12" t="inlineStr">
        <is>
          <t>Backend</t>
        </is>
      </c>
      <c r="N26" s="12" t="inlineStr">
        <is>
          <t>Outbox/Inbox EF verificado en ejecución</t>
        </is>
      </c>
    </row>
    <row r="27">
      <c r="A27" s="10" t="n">
        <v>22</v>
      </c>
      <c r="B27" s="11">
        <f>IF(C27="Completo","☑",IF(C27="En progreso","◐","☐"))</f>
        <v/>
      </c>
      <c r="C27" s="10" t="inlineStr">
        <is>
          <t>En progreso</t>
        </is>
      </c>
      <c r="D27" s="10" t="inlineStr">
        <is>
          <t>PLT-F10</t>
        </is>
      </c>
      <c r="E27" s="12" t="inlineStr">
        <is>
          <t>00 · Plataforma y Shared Kernel</t>
        </is>
      </c>
      <c r="F27" s="10" t="inlineStr">
        <is>
          <t>Funcionalidad</t>
        </is>
      </c>
      <c r="G27" s="12" t="inlineStr">
        <is>
          <t>Redis: cache, locks distribuidos, claves de Data Protection</t>
        </is>
      </c>
      <c r="H27" s="13" t="inlineStr">
        <is>
          <t>Imprescindible</t>
        </is>
      </c>
      <c r="I27" s="10" t="inlineStr">
        <is>
          <t>Fundación</t>
        </is>
      </c>
      <c r="J27" s="10" t="n">
        <v>1</v>
      </c>
      <c r="K27" s="12" t="inlineStr">
        <is>
          <t>Base</t>
        </is>
      </c>
      <c r="L27" s="12" t="inlineStr">
        <is>
          <t>TECH-03-003</t>
        </is>
      </c>
      <c r="M27" s="12" t="inlineStr">
        <is>
          <t>Backend</t>
        </is>
      </c>
      <c r="N27" s="12" t="inlineStr">
        <is>
          <t>Implementado y activable con Redis__IsEnabled; falta probar con Redis real en Railway</t>
        </is>
      </c>
    </row>
    <row r="28">
      <c r="A28" s="10" t="n">
        <v>23</v>
      </c>
      <c r="B28" s="11">
        <f>IF(C28="Completo","☑",IF(C28="En progreso","◐","☐"))</f>
        <v/>
      </c>
      <c r="C28" s="10" t="inlineStr">
        <is>
          <t>Completo</t>
        </is>
      </c>
      <c r="D28" s="10" t="inlineStr">
        <is>
          <t>PLT-F11</t>
        </is>
      </c>
      <c r="E28" s="12" t="inlineStr">
        <is>
          <t>00 · Plataforma y Shared Kernel</t>
        </is>
      </c>
      <c r="F28" s="10" t="inlineStr">
        <is>
          <t>Funcionalidad</t>
        </is>
      </c>
      <c r="G28" s="12" t="inlineStr">
        <is>
          <t>Proceso Worker + jobs con reintentos y dead-letter</t>
        </is>
      </c>
      <c r="H28" s="13" t="inlineStr">
        <is>
          <t>Imprescindible</t>
        </is>
      </c>
      <c r="I28" s="10" t="inlineStr">
        <is>
          <t>Fundación</t>
        </is>
      </c>
      <c r="J28" s="10" t="n">
        <v>1</v>
      </c>
      <c r="K28" s="12" t="inlineStr">
        <is>
          <t>Base</t>
        </is>
      </c>
      <c r="L28" s="12" t="inlineStr">
        <is>
          <t>TECH-02-002</t>
        </is>
      </c>
      <c r="M28" s="12" t="inlineStr">
        <is>
          <t>Backend</t>
        </is>
      </c>
      <c r="N28" s="12" t="inlineStr">
        <is>
          <t>Ieh.OwneyBeauty.Worker; la API desactiva jobs con BackgroundProcessing__IsEnabled=false</t>
        </is>
      </c>
    </row>
    <row r="29">
      <c r="A29" s="10" t="n">
        <v>24</v>
      </c>
      <c r="B29" s="11">
        <f>IF(C29="Completo","☑",IF(C29="En progreso","◐","☐"))</f>
        <v/>
      </c>
      <c r="C29" s="10" t="inlineStr">
        <is>
          <t>Completo</t>
        </is>
      </c>
      <c r="D29" s="10" t="inlineStr">
        <is>
          <t>PLT-F12</t>
        </is>
      </c>
      <c r="E29" s="12" t="inlineStr">
        <is>
          <t>00 · Plataforma y Shared Kernel</t>
        </is>
      </c>
      <c r="F29" s="10" t="inlineStr">
        <is>
          <t>Funcionalidad</t>
        </is>
      </c>
      <c r="G29" s="12" t="inlineStr">
        <is>
          <t>Rate limiting por políticas (auth, OTP, escritura, búsqueda)</t>
        </is>
      </c>
      <c r="H29" s="13" t="inlineStr">
        <is>
          <t>Imprescindible</t>
        </is>
      </c>
      <c r="I29" s="10" t="inlineStr">
        <is>
          <t>Fundación</t>
        </is>
      </c>
      <c r="J29" s="10" t="n">
        <v>1</v>
      </c>
      <c r="K29" s="12" t="inlineStr">
        <is>
          <t>Base</t>
        </is>
      </c>
      <c r="L29" s="12" t="inlineStr">
        <is>
          <t>OB-47-006</t>
        </is>
      </c>
      <c r="M29" s="12" t="inlineStr">
        <is>
          <t>Backend</t>
        </is>
      </c>
      <c r="N29" s="12" t="inlineStr">
        <is>
          <t>Políticas auth/otp/global; probado 429 + Retry-After</t>
        </is>
      </c>
    </row>
    <row r="30">
      <c r="A30" s="10" t="n">
        <v>25</v>
      </c>
      <c r="B30" s="11">
        <f>IF(C30="Completo","☑",IF(C30="En progreso","◐","☐"))</f>
        <v/>
      </c>
      <c r="C30" s="10" t="inlineStr">
        <is>
          <t>En progreso</t>
        </is>
      </c>
      <c r="D30" s="10" t="inlineStr">
        <is>
          <t>PLT-F13</t>
        </is>
      </c>
      <c r="E30" s="12" t="inlineStr">
        <is>
          <t>00 · Plataforma y Shared Kernel</t>
        </is>
      </c>
      <c r="F30" s="10" t="inlineStr">
        <is>
          <t>Funcionalidad</t>
        </is>
      </c>
      <c r="G30" s="12" t="inlineStr">
        <is>
          <t>OpenAPI y rutas por módulo; versionado de API</t>
        </is>
      </c>
      <c r="H30" s="13" t="inlineStr">
        <is>
          <t>Imprescindible</t>
        </is>
      </c>
      <c r="I30" s="10" t="inlineStr">
        <is>
          <t>Fundación</t>
        </is>
      </c>
      <c r="J30" s="10" t="n">
        <v>1</v>
      </c>
      <c r="K30" s="12" t="inlineStr">
        <is>
          <t>Base</t>
        </is>
      </c>
      <c r="L30" s="12" t="inlineStr">
        <is>
          <t>TECH-01-001/002</t>
        </is>
      </c>
      <c r="M30" s="12" t="inlineStr">
        <is>
          <t>Backend</t>
        </is>
      </c>
      <c r="N30" s="12" t="inlineStr">
        <is>
          <t>Rutas /api/platform y /api/accounts listas; falta versionado de API</t>
        </is>
      </c>
    </row>
    <row r="31">
      <c r="A31" s="10" t="n">
        <v>26</v>
      </c>
      <c r="B31" s="11">
        <f>IF(C31="Completo","☑",IF(C31="En progreso","◐","☐"))</f>
        <v/>
      </c>
      <c r="C31" s="10" t="inlineStr">
        <is>
          <t>Completo</t>
        </is>
      </c>
      <c r="D31" s="10" t="inlineStr">
        <is>
          <t>PLT-F14</t>
        </is>
      </c>
      <c r="E31" s="12" t="inlineStr">
        <is>
          <t>00 · Plataforma y Shared Kernel</t>
        </is>
      </c>
      <c r="F31" s="10" t="inlineStr">
        <is>
          <t>Funcionalidad</t>
        </is>
      </c>
      <c r="G31" s="12" t="inlineStr">
        <is>
          <t>Logs estructurados + OpenTelemetry + correlation id</t>
        </is>
      </c>
      <c r="H31" s="13" t="inlineStr">
        <is>
          <t>Imprescindible</t>
        </is>
      </c>
      <c r="I31" s="10" t="inlineStr">
        <is>
          <t>Fundación</t>
        </is>
      </c>
      <c r="J31" s="10" t="n">
        <v>1</v>
      </c>
      <c r="K31" s="12" t="inlineStr">
        <is>
          <t>Base</t>
        </is>
      </c>
      <c r="L31" s="12" t="inlineStr">
        <is>
          <t>TECH-07-001..003</t>
        </is>
      </c>
      <c r="M31" s="12" t="inlineStr">
        <is>
          <t>Backend</t>
        </is>
      </c>
      <c r="N31" s="12" t="inlineStr">
        <is>
          <t>Serilog + OpenTelemetry (OTLP opcional) + X-Correlation-Id</t>
        </is>
      </c>
    </row>
    <row r="32">
      <c r="A32" s="10" t="n">
        <v>27</v>
      </c>
      <c r="B32" s="11">
        <f>IF(C32="Completo","☑",IF(C32="En progreso","◐","☐"))</f>
        <v/>
      </c>
      <c r="C32" s="10" t="inlineStr">
        <is>
          <t>Completo</t>
        </is>
      </c>
      <c r="D32" s="10" t="inlineStr">
        <is>
          <t>PLT-F15</t>
        </is>
      </c>
      <c r="E32" s="12" t="inlineStr">
        <is>
          <t>00 · Plataforma y Shared Kernel</t>
        </is>
      </c>
      <c r="F32" s="10" t="inlineStr">
        <is>
          <t>Funcionalidad</t>
        </is>
      </c>
      <c r="G32" s="12" t="inlineStr">
        <is>
          <t>Health checks (BD, Redis, storage)</t>
        </is>
      </c>
      <c r="H32" s="13" t="inlineStr">
        <is>
          <t>Imprescindible</t>
        </is>
      </c>
      <c r="I32" s="10" t="inlineStr">
        <is>
          <t>Fundación</t>
        </is>
      </c>
      <c r="J32" s="10" t="n">
        <v>1</v>
      </c>
      <c r="K32" s="12" t="inlineStr">
        <is>
          <t>Base</t>
        </is>
      </c>
      <c r="L32" s="12" t="inlineStr">
        <is>
          <t>TECH-07-005</t>
        </is>
      </c>
      <c r="M32" s="12" t="inlineStr">
        <is>
          <t>Backend</t>
        </is>
      </c>
      <c r="N32" s="12" t="inlineStr">
        <is>
          <t>/health/live y /health-status (BD + Redis si está activo)</t>
        </is>
      </c>
    </row>
    <row r="33">
      <c r="A33" s="10" t="n">
        <v>28</v>
      </c>
      <c r="B33" s="11">
        <f>IF(C33="Completo","☑",IF(C33="En progreso","◐","☐"))</f>
        <v/>
      </c>
      <c r="C33" s="10" t="inlineStr">
        <is>
          <t>Completo</t>
        </is>
      </c>
      <c r="D33" s="10" t="inlineStr">
        <is>
          <t>ADM-F01</t>
        </is>
      </c>
      <c r="E33" s="12" t="inlineStr">
        <is>
          <t>26 · Administración y Auditoría</t>
        </is>
      </c>
      <c r="F33" s="10" t="inlineStr">
        <is>
          <t>Funcionalidad</t>
        </is>
      </c>
      <c r="G33" s="12" t="inlineStr">
        <is>
          <t>Auditoría de eventos críticos de negocio</t>
        </is>
      </c>
      <c r="H33" s="13" t="inlineStr">
        <is>
          <t>Imprescindible</t>
        </is>
      </c>
      <c r="I33" s="10" t="inlineStr">
        <is>
          <t>Fundación</t>
        </is>
      </c>
      <c r="J33" s="10" t="n">
        <v>1</v>
      </c>
      <c r="K33" s="12" t="inlineStr">
        <is>
          <t>Gobierno</t>
        </is>
      </c>
      <c r="L33" s="12" t="inlineStr">
        <is>
          <t>OB-49-001</t>
        </is>
      </c>
      <c r="M33" s="12" t="inlineStr">
        <is>
          <t>Backend</t>
        </is>
      </c>
      <c r="N33" s="12" t="inlineStr">
        <is>
          <t>BusinessAuditEvent inmutable en Platform</t>
        </is>
      </c>
    </row>
    <row r="34">
      <c r="A34" s="10" t="n">
        <v>29</v>
      </c>
      <c r="B34" s="11">
        <f>IF(C34="Completo","☑",IF(C34="En progreso","◐","☐"))</f>
        <v/>
      </c>
      <c r="C34" s="10" t="inlineStr">
        <is>
          <t>Pendiente</t>
        </is>
      </c>
      <c r="D34" s="10" t="inlineStr">
        <is>
          <t>DEV-M02</t>
        </is>
      </c>
      <c r="E34" s="12" t="inlineStr">
        <is>
          <t>DEV · Operación, Calidad y Entrega</t>
        </is>
      </c>
      <c r="F34" s="10" t="inlineStr">
        <is>
          <t>Mantenimiento</t>
        </is>
      </c>
      <c r="G34" s="12" t="inlineStr">
        <is>
          <t>Entorno QA/Testing</t>
        </is>
      </c>
      <c r="H34" s="13" t="inlineStr">
        <is>
          <t>Imprescindible</t>
        </is>
      </c>
      <c r="I34" s="10" t="inlineStr">
        <is>
          <t>Fundación</t>
        </is>
      </c>
      <c r="J34" s="10" t="n">
        <v>1</v>
      </c>
      <c r="K34" s="12" t="inlineStr">
        <is>
          <t>Áreas transversales</t>
        </is>
      </c>
      <c r="L34" s="12" t="inlineStr">
        <is>
          <t>ENV-01-002</t>
        </is>
      </c>
      <c r="M34" s="12" t="inlineStr"/>
      <c r="N34" s="12" t="inlineStr"/>
    </row>
    <row r="35">
      <c r="A35" s="10" t="n">
        <v>30</v>
      </c>
      <c r="B35" s="11">
        <f>IF(C35="Completo","☑",IF(C35="En progreso","◐","☐"))</f>
        <v/>
      </c>
      <c r="C35" s="10" t="inlineStr">
        <is>
          <t>Pendiente</t>
        </is>
      </c>
      <c r="D35" s="10" t="inlineStr">
        <is>
          <t>DEV-M03</t>
        </is>
      </c>
      <c r="E35" s="12" t="inlineStr">
        <is>
          <t>DEV · Operación, Calidad y Entrega</t>
        </is>
      </c>
      <c r="F35" s="10" t="inlineStr">
        <is>
          <t>Mantenimiento</t>
        </is>
      </c>
      <c r="G35" s="12" t="inlineStr">
        <is>
          <t>Entorno Staging</t>
        </is>
      </c>
      <c r="H35" s="13" t="inlineStr">
        <is>
          <t>Imprescindible</t>
        </is>
      </c>
      <c r="I35" s="10" t="inlineStr">
        <is>
          <t>Fundación</t>
        </is>
      </c>
      <c r="J35" s="10" t="n">
        <v>1</v>
      </c>
      <c r="K35" s="12" t="inlineStr">
        <is>
          <t>Áreas transversales</t>
        </is>
      </c>
      <c r="L35" s="12" t="inlineStr">
        <is>
          <t>ENV-01-003</t>
        </is>
      </c>
      <c r="M35" s="12" t="inlineStr"/>
      <c r="N35" s="12" t="inlineStr"/>
    </row>
    <row r="36">
      <c r="A36" s="10" t="n">
        <v>31</v>
      </c>
      <c r="B36" s="11">
        <f>IF(C36="Completo","☑",IF(C36="En progreso","◐","☐"))</f>
        <v/>
      </c>
      <c r="C36" s="10" t="inlineStr">
        <is>
          <t>Pendiente</t>
        </is>
      </c>
      <c r="D36" s="10" t="inlineStr">
        <is>
          <t>DEV-F06</t>
        </is>
      </c>
      <c r="E36" s="12" t="inlineStr">
        <is>
          <t>DEV · Operación, Calidad y Entrega</t>
        </is>
      </c>
      <c r="F36" s="10" t="inlineStr">
        <is>
          <t>Funcionalidad</t>
        </is>
      </c>
      <c r="G36" s="12" t="inlineStr">
        <is>
          <t>Promoción de imagen entre entornos + rollback</t>
        </is>
      </c>
      <c r="H36" s="13" t="inlineStr">
        <is>
          <t>Imprescindible</t>
        </is>
      </c>
      <c r="I36" s="10" t="inlineStr">
        <is>
          <t>Fundación</t>
        </is>
      </c>
      <c r="J36" s="10" t="n">
        <v>1</v>
      </c>
      <c r="K36" s="12" t="inlineStr">
        <is>
          <t>Áreas transversales</t>
        </is>
      </c>
      <c r="L36" s="12" t="inlineStr">
        <is>
          <t>DEVOPS-01-002</t>
        </is>
      </c>
      <c r="M36" s="12" t="inlineStr"/>
      <c r="N36" s="12" t="inlineStr"/>
    </row>
    <row r="37">
      <c r="A37" s="10" t="n">
        <v>32</v>
      </c>
      <c r="B37" s="11">
        <f>IF(C37="Completo","☑",IF(C37="En progreso","◐","☐"))</f>
        <v/>
      </c>
      <c r="C37" s="10" t="inlineStr">
        <is>
          <t>Pendiente</t>
        </is>
      </c>
      <c r="D37" s="10" t="inlineStr">
        <is>
          <t>DEV-F07</t>
        </is>
      </c>
      <c r="E37" s="12" t="inlineStr">
        <is>
          <t>DEV · Operación, Calidad y Entrega</t>
        </is>
      </c>
      <c r="F37" s="10" t="inlineStr">
        <is>
          <t>Funcionalidad</t>
        </is>
      </c>
      <c r="G37" s="12" t="inlineStr">
        <is>
          <t>Backups automáticos + PITR</t>
        </is>
      </c>
      <c r="H37" s="13" t="inlineStr">
        <is>
          <t>Imprescindible</t>
        </is>
      </c>
      <c r="I37" s="10" t="inlineStr">
        <is>
          <t>Fundación</t>
        </is>
      </c>
      <c r="J37" s="10" t="n">
        <v>1</v>
      </c>
      <c r="K37" s="12" t="inlineStr">
        <is>
          <t>Áreas transversales</t>
        </is>
      </c>
      <c r="L37" s="12" t="inlineStr">
        <is>
          <t>OPS-01-001</t>
        </is>
      </c>
      <c r="M37" s="12" t="inlineStr"/>
      <c r="N37" s="12" t="inlineStr"/>
    </row>
    <row r="38">
      <c r="A38" s="10" t="n">
        <v>33</v>
      </c>
      <c r="B38" s="11">
        <f>IF(C38="Completo","☑",IF(C38="En progreso","◐","☐"))</f>
        <v/>
      </c>
      <c r="C38" s="10" t="inlineStr">
        <is>
          <t>En progreso</t>
        </is>
      </c>
      <c r="D38" s="10" t="inlineStr">
        <is>
          <t>DEV-F08</t>
        </is>
      </c>
      <c r="E38" s="12" t="inlineStr">
        <is>
          <t>DEV · Operación, Calidad y Entrega</t>
        </is>
      </c>
      <c r="F38" s="10" t="inlineStr">
        <is>
          <t>Funcionalidad</t>
        </is>
      </c>
      <c r="G38" s="12" t="inlineStr">
        <is>
          <t>Tests de integración con PostgreSQL real</t>
        </is>
      </c>
      <c r="H38" s="13" t="inlineStr">
        <is>
          <t>Imprescindible</t>
        </is>
      </c>
      <c r="I38" s="10" t="inlineStr">
        <is>
          <t>Fundación</t>
        </is>
      </c>
      <c r="J38" s="10" t="n">
        <v>1</v>
      </c>
      <c r="K38" s="12" t="inlineStr">
        <is>
          <t>Áreas transversales</t>
        </is>
      </c>
      <c r="L38" s="12" t="inlineStr">
        <is>
          <t>QA-01-002</t>
        </is>
      </c>
      <c r="M38" s="12" t="inlineStr">
        <is>
          <t>Backend</t>
        </is>
      </c>
      <c r="N38" s="12" t="inlineStr">
        <is>
          <t>E2E manual 33/33 contra PostgreSQL; las pruebas automáticas usan SQLite</t>
        </is>
      </c>
    </row>
    <row r="39">
      <c r="A39" s="10" t="n">
        <v>34</v>
      </c>
      <c r="B39" s="11">
        <f>IF(C39="Completo","☑",IF(C39="En progreso","◐","☐"))</f>
        <v/>
      </c>
      <c r="C39" s="10" t="inlineStr">
        <is>
          <t>En progreso</t>
        </is>
      </c>
      <c r="D39" s="10" t="inlineStr">
        <is>
          <t>DEV-F09</t>
        </is>
      </c>
      <c r="E39" s="12" t="inlineStr">
        <is>
          <t>DEV · Operación, Calidad y Entrega</t>
        </is>
      </c>
      <c r="F39" s="10" t="inlineStr">
        <is>
          <t>Funcionalidad</t>
        </is>
      </c>
      <c r="G39" s="12" t="inlineStr">
        <is>
          <t>Tests unitarios de reglas críticas (continuo)</t>
        </is>
      </c>
      <c r="H39" s="13" t="inlineStr">
        <is>
          <t>Imprescindible</t>
        </is>
      </c>
      <c r="I39" s="10" t="inlineStr">
        <is>
          <t>Fundación</t>
        </is>
      </c>
      <c r="J39" s="10" t="n">
        <v>1</v>
      </c>
      <c r="K39" s="12" t="inlineStr">
        <is>
          <t>Áreas transversales</t>
        </is>
      </c>
      <c r="L39" s="12" t="inlineStr">
        <is>
          <t>QA-01-001</t>
        </is>
      </c>
      <c r="M39" s="12" t="inlineStr">
        <is>
          <t>Backend</t>
        </is>
      </c>
      <c r="N39" s="12" t="inlineStr">
        <is>
          <t>25 pruebas de dominio + 13 de integración (continuo)</t>
        </is>
      </c>
    </row>
    <row r="40">
      <c r="A40" s="6" t="n">
        <v>35</v>
      </c>
      <c r="B40" s="7">
        <f>IF(C40="Completo","☑",IF(C40="En progreso","◐","☐"))</f>
        <v/>
      </c>
      <c r="C40" s="6" t="inlineStr">
        <is>
          <t>En progreso</t>
        </is>
      </c>
      <c r="D40" s="6" t="inlineStr">
        <is>
          <t>ACC-M01</t>
        </is>
      </c>
      <c r="E40" s="8" t="inlineStr">
        <is>
          <t>01 · Identidad y Cuentas</t>
        </is>
      </c>
      <c r="F40" s="6" t="inlineStr">
        <is>
          <t>Mantenimiento</t>
        </is>
      </c>
      <c r="G40" s="8" t="inlineStr">
        <is>
          <t>Roles del sistema y matriz de permisos</t>
        </is>
      </c>
      <c r="H40" s="9" t="inlineStr">
        <is>
          <t>Imprescindible</t>
        </is>
      </c>
      <c r="I40" s="6" t="inlineStr">
        <is>
          <t>MVP</t>
        </is>
      </c>
      <c r="J40" s="6" t="n">
        <v>2</v>
      </c>
      <c r="K40" s="8" t="inlineStr">
        <is>
          <t>Red social</t>
        </is>
      </c>
      <c r="L40" s="8" t="inlineStr">
        <is>
          <t>OB-02, §8.1</t>
        </is>
      </c>
      <c r="M40" s="8" t="inlineStr">
        <is>
          <t>Backend</t>
        </is>
      </c>
      <c r="N40" s="8" t="inlineStr">
        <is>
          <t>10 roles sembrados (client por defecto). Falta asignar permisos por rol cuando existan los módulos</t>
        </is>
      </c>
    </row>
    <row r="41">
      <c r="A41" s="6" t="n">
        <v>36</v>
      </c>
      <c r="B41" s="7">
        <f>IF(C41="Completo","☑",IF(C41="En progreso","◐","☐"))</f>
        <v/>
      </c>
      <c r="C41" s="6" t="inlineStr">
        <is>
          <t>Completo</t>
        </is>
      </c>
      <c r="D41" s="6" t="inlineStr">
        <is>
          <t>ACC-M02</t>
        </is>
      </c>
      <c r="E41" s="8" t="inlineStr">
        <is>
          <t>01 · Identidad y Cuentas</t>
        </is>
      </c>
      <c r="F41" s="6" t="inlineStr">
        <is>
          <t>Mantenimiento</t>
        </is>
      </c>
      <c r="G41" s="8" t="inlineStr">
        <is>
          <t>Documentos legales versionados (términos, privacidad)</t>
        </is>
      </c>
      <c r="H41" s="9" t="inlineStr">
        <is>
          <t>Imprescindible</t>
        </is>
      </c>
      <c r="I41" s="6" t="inlineStr">
        <is>
          <t>MVP</t>
        </is>
      </c>
      <c r="J41" s="6" t="n">
        <v>2</v>
      </c>
      <c r="K41" s="8" t="inlineStr">
        <is>
          <t>Red social</t>
        </is>
      </c>
      <c r="L41" s="8" t="inlineStr">
        <is>
          <t>OB-01-001, OB-48-004</t>
        </is>
      </c>
      <c r="M41" s="8" t="inlineStr">
        <is>
          <t>Backend</t>
        </is>
      </c>
      <c r="N41" s="8" t="inlineStr">
        <is>
          <t>Borrador→publicado inmutable, versión vigente por tipo/idioma</t>
        </is>
      </c>
    </row>
    <row r="42">
      <c r="A42" s="6" t="n">
        <v>37</v>
      </c>
      <c r="B42" s="7">
        <f>IF(C42="Completo","☑",IF(C42="En progreso","◐","☐"))</f>
        <v/>
      </c>
      <c r="C42" s="6" t="inlineStr">
        <is>
          <t>Completo</t>
        </is>
      </c>
      <c r="D42" s="6" t="inlineStr">
        <is>
          <t>ACC-M03</t>
        </is>
      </c>
      <c r="E42" s="8" t="inlineStr">
        <is>
          <t>01 · Identidad y Cuentas</t>
        </is>
      </c>
      <c r="F42" s="6" t="inlineStr">
        <is>
          <t>Mantenimiento</t>
        </is>
      </c>
      <c r="G42" s="8" t="inlineStr">
        <is>
          <t>Tipos de consentimiento (datos, marketing, ubicación)</t>
        </is>
      </c>
      <c r="H42" s="9" t="inlineStr">
        <is>
          <t>Imprescindible</t>
        </is>
      </c>
      <c r="I42" s="6" t="inlineStr">
        <is>
          <t>MVP</t>
        </is>
      </c>
      <c r="J42" s="6" t="n">
        <v>2</v>
      </c>
      <c r="K42" s="8" t="inlineStr">
        <is>
          <t>Red social</t>
        </is>
      </c>
      <c r="L42" s="8" t="inlineStr">
        <is>
          <t>OB-48-004</t>
        </is>
      </c>
      <c r="M42" s="8" t="inlineStr">
        <is>
          <t>Backend</t>
        </is>
      </c>
      <c r="N42" s="8" t="inlineStr">
        <is>
          <t>Registro solo-anexar de consentimientos</t>
        </is>
      </c>
    </row>
    <row r="43">
      <c r="A43" s="6" t="n">
        <v>38</v>
      </c>
      <c r="B43" s="7">
        <f>IF(C43="Completo","☑",IF(C43="En progreso","◐","☐"))</f>
        <v/>
      </c>
      <c r="C43" s="6" t="inlineStr">
        <is>
          <t>Completo</t>
        </is>
      </c>
      <c r="D43" s="6" t="inlineStr">
        <is>
          <t>ACC-M04</t>
        </is>
      </c>
      <c r="E43" s="8" t="inlineStr">
        <is>
          <t>01 · Identidad y Cuentas</t>
        </is>
      </c>
      <c r="F43" s="6" t="inlineStr">
        <is>
          <t>Mantenimiento</t>
        </is>
      </c>
      <c r="G43" s="8" t="inlineStr">
        <is>
          <t>Política de contraseñas y bloqueo</t>
        </is>
      </c>
      <c r="H43" s="9" t="inlineStr">
        <is>
          <t>Imprescindible</t>
        </is>
      </c>
      <c r="I43" s="6" t="inlineStr">
        <is>
          <t>MVP</t>
        </is>
      </c>
      <c r="J43" s="6" t="n">
        <v>2</v>
      </c>
      <c r="K43" s="8" t="inlineStr">
        <is>
          <t>Red social</t>
        </is>
      </c>
      <c r="L43" s="8" t="inlineStr">
        <is>
          <t>OB-01-004</t>
        </is>
      </c>
      <c r="M43" s="8" t="inlineStr">
        <is>
          <t>Backend</t>
        </is>
      </c>
      <c r="N43" s="8" t="inlineStr">
        <is>
          <t>8+ caracteres, dígito y minúscula; bloqueo 15 min tras 5 intentos</t>
        </is>
      </c>
    </row>
    <row r="44">
      <c r="A44" s="6" t="n">
        <v>39</v>
      </c>
      <c r="B44" s="7">
        <f>IF(C44="Completo","☑",IF(C44="En progreso","◐","☐"))</f>
        <v/>
      </c>
      <c r="C44" s="6" t="inlineStr">
        <is>
          <t>Completo</t>
        </is>
      </c>
      <c r="D44" s="6" t="inlineStr">
        <is>
          <t>ACC-M05</t>
        </is>
      </c>
      <c r="E44" s="8" t="inlineStr">
        <is>
          <t>01 · Identidad y Cuentas</t>
        </is>
      </c>
      <c r="F44" s="6" t="inlineStr">
        <is>
          <t>Mantenimiento</t>
        </is>
      </c>
      <c r="G44" s="8" t="inlineStr">
        <is>
          <t>Plantillas de verificación email/SMS</t>
        </is>
      </c>
      <c r="H44" s="9" t="inlineStr">
        <is>
          <t>Imprescindible</t>
        </is>
      </c>
      <c r="I44" s="6" t="inlineStr">
        <is>
          <t>MVP</t>
        </is>
      </c>
      <c r="J44" s="6" t="n">
        <v>2</v>
      </c>
      <c r="K44" s="8" t="inlineStr">
        <is>
          <t>Red social</t>
        </is>
      </c>
      <c r="L44" s="8" t="inlineStr">
        <is>
          <t>OB-01-002/003</t>
        </is>
      </c>
      <c r="M44" s="8" t="inlineStr">
        <is>
          <t>Backend</t>
        </is>
      </c>
      <c r="N44" s="8" t="inlineStr">
        <is>
          <t>Textos localizados es/en (texto plano). Mejorar a HTML con marca más adelante</t>
        </is>
      </c>
    </row>
    <row r="45">
      <c r="A45" s="6" t="n">
        <v>40</v>
      </c>
      <c r="B45" s="7">
        <f>IF(C45="Completo","☑",IF(C45="En progreso","◐","☐"))</f>
        <v/>
      </c>
      <c r="C45" s="6" t="inlineStr">
        <is>
          <t>Completo</t>
        </is>
      </c>
      <c r="D45" s="6" t="inlineStr">
        <is>
          <t>ACC-F01</t>
        </is>
      </c>
      <c r="E45" s="8" t="inlineStr">
        <is>
          <t>01 · Identidad y Cuentas</t>
        </is>
      </c>
      <c r="F45" s="6" t="inlineStr">
        <is>
          <t>Funcionalidad</t>
        </is>
      </c>
      <c r="G45" s="8" t="inlineStr">
        <is>
          <t>Registro por email/teléfono con consentimiento</t>
        </is>
      </c>
      <c r="H45" s="9" t="inlineStr">
        <is>
          <t>Imprescindible</t>
        </is>
      </c>
      <c r="I45" s="6" t="inlineStr">
        <is>
          <t>MVP</t>
        </is>
      </c>
      <c r="J45" s="6" t="n">
        <v>2</v>
      </c>
      <c r="K45" s="8" t="inlineStr">
        <is>
          <t>Red social</t>
        </is>
      </c>
      <c r="L45" s="8" t="inlineStr">
        <is>
          <t>OB-01-001</t>
        </is>
      </c>
      <c r="M45" s="8" t="inlineStr">
        <is>
          <t>Backend</t>
        </is>
      </c>
      <c r="N45" s="8" t="inlineStr">
        <is>
          <t>/api/accounts/registration/register; errores genéricos</t>
        </is>
      </c>
    </row>
    <row r="46">
      <c r="A46" s="6" t="n">
        <v>41</v>
      </c>
      <c r="B46" s="7">
        <f>IF(C46="Completo","☑",IF(C46="En progreso","◐","☐"))</f>
        <v/>
      </c>
      <c r="C46" s="6" t="inlineStr">
        <is>
          <t>Completo</t>
        </is>
      </c>
      <c r="D46" s="6" t="inlineStr">
        <is>
          <t>ACC-F02</t>
        </is>
      </c>
      <c r="E46" s="8" t="inlineStr">
        <is>
          <t>01 · Identidad y Cuentas</t>
        </is>
      </c>
      <c r="F46" s="6" t="inlineStr">
        <is>
          <t>Funcionalidad</t>
        </is>
      </c>
      <c r="G46" s="8" t="inlineStr">
        <is>
          <t>Verificar correo</t>
        </is>
      </c>
      <c r="H46" s="9" t="inlineStr">
        <is>
          <t>Imprescindible</t>
        </is>
      </c>
      <c r="I46" s="6" t="inlineStr">
        <is>
          <t>MVP</t>
        </is>
      </c>
      <c r="J46" s="6" t="n">
        <v>2</v>
      </c>
      <c r="K46" s="8" t="inlineStr">
        <is>
          <t>Red social</t>
        </is>
      </c>
      <c r="L46" s="8" t="inlineStr">
        <is>
          <t>OB-01-002</t>
        </is>
      </c>
      <c r="M46" s="8" t="inlineStr">
        <is>
          <t>Backend</t>
        </is>
      </c>
      <c r="N46" s="8" t="inlineStr">
        <is>
          <t>Código 6 dígitos con hash, 10 min, 5 intentos, reenvío 60 s, límite diario</t>
        </is>
      </c>
    </row>
    <row r="47">
      <c r="A47" s="6" t="n">
        <v>42</v>
      </c>
      <c r="B47" s="7">
        <f>IF(C47="Completo","☑",IF(C47="En progreso","◐","☐"))</f>
        <v/>
      </c>
      <c r="C47" s="6" t="inlineStr">
        <is>
          <t>En progreso</t>
        </is>
      </c>
      <c r="D47" s="6" t="inlineStr">
        <is>
          <t>ACC-F03</t>
        </is>
      </c>
      <c r="E47" s="8" t="inlineStr">
        <is>
          <t>01 · Identidad y Cuentas</t>
        </is>
      </c>
      <c r="F47" s="6" t="inlineStr">
        <is>
          <t>Funcionalidad</t>
        </is>
      </c>
      <c r="G47" s="8" t="inlineStr">
        <is>
          <t>Verificar teléfono (OTP)</t>
        </is>
      </c>
      <c r="H47" s="9" t="inlineStr">
        <is>
          <t>Imprescindible</t>
        </is>
      </c>
      <c r="I47" s="6" t="inlineStr">
        <is>
          <t>MVP</t>
        </is>
      </c>
      <c r="J47" s="6" t="n">
        <v>2</v>
      </c>
      <c r="K47" s="8" t="inlineStr">
        <is>
          <t>Red social</t>
        </is>
      </c>
      <c r="L47" s="8" t="inlineStr">
        <is>
          <t>OB-01-003</t>
        </is>
      </c>
      <c r="M47" s="8" t="inlineStr">
        <is>
          <t>Backend</t>
        </is>
      </c>
      <c r="N47" s="8" t="inlineStr">
        <is>
          <t>Lógica lista; falta integrar un proveedor SMS real (hoy NullSmsSender)</t>
        </is>
      </c>
    </row>
    <row r="48">
      <c r="A48" s="6" t="n">
        <v>43</v>
      </c>
      <c r="B48" s="7">
        <f>IF(C48="Completo","☑",IF(C48="En progreso","◐","☐"))</f>
        <v/>
      </c>
      <c r="C48" s="6" t="inlineStr">
        <is>
          <t>En progreso</t>
        </is>
      </c>
      <c r="D48" s="6" t="inlineStr">
        <is>
          <t>ACC-F04</t>
        </is>
      </c>
      <c r="E48" s="8" t="inlineStr">
        <is>
          <t>01 · Identidad y Cuentas</t>
        </is>
      </c>
      <c r="F48" s="6" t="inlineStr">
        <is>
          <t>Funcionalidad</t>
        </is>
      </c>
      <c r="G48" s="8" t="inlineStr">
        <is>
          <t>Login Authorization Code + PKCE (reemplaza password grant)</t>
        </is>
      </c>
      <c r="H48" s="9" t="inlineStr">
        <is>
          <t>Imprescindible</t>
        </is>
      </c>
      <c r="I48" s="6" t="inlineStr">
        <is>
          <t>MVP</t>
        </is>
      </c>
      <c r="J48" s="6" t="n">
        <v>2</v>
      </c>
      <c r="K48" s="8" t="inlineStr">
        <is>
          <t>Red social</t>
        </is>
      </c>
      <c r="L48" s="8" t="inlineStr">
        <is>
          <t>OB-01-004</t>
        </is>
      </c>
      <c r="M48" s="8" t="inlineStr">
        <is>
          <t>Backend</t>
        </is>
      </c>
      <c r="N48" s="8" t="inlineStr">
        <is>
          <t>PKCE obligatorio en el cliente. Password grant sigue activo (AllowPasswordFlow) hasta que la UI use PKCE</t>
        </is>
      </c>
    </row>
    <row r="49">
      <c r="A49" s="6" t="n">
        <v>44</v>
      </c>
      <c r="B49" s="7">
        <f>IF(C49="Completo","☑",IF(C49="En progreso","◐","☐"))</f>
        <v/>
      </c>
      <c r="C49" s="6" t="inlineStr">
        <is>
          <t>Completo</t>
        </is>
      </c>
      <c r="D49" s="6" t="inlineStr">
        <is>
          <t>ACC-F05</t>
        </is>
      </c>
      <c r="E49" s="8" t="inlineStr">
        <is>
          <t>01 · Identidad y Cuentas</t>
        </is>
      </c>
      <c r="F49" s="6" t="inlineStr">
        <is>
          <t>Funcionalidad</t>
        </is>
      </c>
      <c r="G49" s="8" t="inlineStr">
        <is>
          <t>Tokens de corta vida + rotación de refresh tokens</t>
        </is>
      </c>
      <c r="H49" s="9" t="inlineStr">
        <is>
          <t>Imprescindible</t>
        </is>
      </c>
      <c r="I49" s="6" t="inlineStr">
        <is>
          <t>MVP</t>
        </is>
      </c>
      <c r="J49" s="6" t="n">
        <v>2</v>
      </c>
      <c r="K49" s="8" t="inlineStr">
        <is>
          <t>Red social</t>
        </is>
      </c>
      <c r="L49" s="8" t="inlineStr">
        <is>
          <t>OB-47-003/004</t>
        </is>
      </c>
      <c r="M49" s="8" t="inlineStr">
        <is>
          <t>Backend</t>
        </is>
      </c>
      <c r="N49" s="8" t="inlineStr">
        <is>
          <t>Access 15 min, refresh 14 días rotativo (probado)</t>
        </is>
      </c>
    </row>
    <row r="50">
      <c r="A50" s="6" t="n">
        <v>45</v>
      </c>
      <c r="B50" s="7">
        <f>IF(C50="Completo","☑",IF(C50="En progreso","◐","☐"))</f>
        <v/>
      </c>
      <c r="C50" s="6" t="inlineStr">
        <is>
          <t>En progreso</t>
        </is>
      </c>
      <c r="D50" s="6" t="inlineStr">
        <is>
          <t>ACC-F06</t>
        </is>
      </c>
      <c r="E50" s="8" t="inlineStr">
        <is>
          <t>01 · Identidad y Cuentas</t>
        </is>
      </c>
      <c r="F50" s="6" t="inlineStr">
        <is>
          <t>Funcionalidad</t>
        </is>
      </c>
      <c r="G50" s="8" t="inlineStr">
        <is>
          <t>Recuperar contraseña</t>
        </is>
      </c>
      <c r="H50" s="9" t="inlineStr">
        <is>
          <t>Imprescindible</t>
        </is>
      </c>
      <c r="I50" s="6" t="inlineStr">
        <is>
          <t>MVP</t>
        </is>
      </c>
      <c r="J50" s="6" t="n">
        <v>2</v>
      </c>
      <c r="K50" s="8" t="inlineStr">
        <is>
          <t>Red social</t>
        </is>
      </c>
      <c r="L50" s="8" t="inlineStr">
        <is>
          <t>OB-01-006</t>
        </is>
      </c>
      <c r="M50" s="8" t="inlineStr">
        <is>
          <t>Backend</t>
        </is>
      </c>
      <c r="N50" s="8" t="inlineStr">
        <is>
          <t>Endpoints ABP disponibles; falta pantalla en la UI y cerrar otras sesiones tras el cambio</t>
        </is>
      </c>
    </row>
    <row r="51">
      <c r="A51" s="6" t="n">
        <v>46</v>
      </c>
      <c r="B51" s="7">
        <f>IF(C51="Completo","☑",IF(C51="En progreso","◐","☐"))</f>
        <v/>
      </c>
      <c r="C51" s="6" t="inlineStr">
        <is>
          <t>Completo</t>
        </is>
      </c>
      <c r="D51" s="6" t="inlineStr">
        <is>
          <t>ACC-F07</t>
        </is>
      </c>
      <c r="E51" s="8" t="inlineStr">
        <is>
          <t>01 · Identidad y Cuentas</t>
        </is>
      </c>
      <c r="F51" s="6" t="inlineStr">
        <is>
          <t>Funcionalidad</t>
        </is>
      </c>
      <c r="G51" s="8" t="inlineStr">
        <is>
          <t>Selección de rol inicial y onboarding</t>
        </is>
      </c>
      <c r="H51" s="9" t="inlineStr">
        <is>
          <t>Imprescindible</t>
        </is>
      </c>
      <c r="I51" s="6" t="inlineStr">
        <is>
          <t>MVP</t>
        </is>
      </c>
      <c r="J51" s="6" t="n">
        <v>2</v>
      </c>
      <c r="K51" s="8" t="inlineStr">
        <is>
          <t>Red social</t>
        </is>
      </c>
      <c r="L51" s="8" t="inlineStr">
        <is>
          <t>OB-02-001</t>
        </is>
      </c>
      <c r="M51" s="8" t="inlineStr">
        <is>
          <t>Backend</t>
        </is>
      </c>
      <c r="N51" s="8" t="inlineStr">
        <is>
          <t>initialMode en registro + advance-onboarding</t>
        </is>
      </c>
    </row>
    <row r="52">
      <c r="A52" s="6" t="n">
        <v>47</v>
      </c>
      <c r="B52" s="7">
        <f>IF(C52="Completo","☑",IF(C52="En progreso","◐","☐"))</f>
        <v/>
      </c>
      <c r="C52" s="6" t="inlineStr">
        <is>
          <t>Completo</t>
        </is>
      </c>
      <c r="D52" s="6" t="inlineStr">
        <is>
          <t>ACC-F08</t>
        </is>
      </c>
      <c r="E52" s="8" t="inlineStr">
        <is>
          <t>01 · Identidad y Cuentas</t>
        </is>
      </c>
      <c r="F52" s="6" t="inlineStr">
        <is>
          <t>Funcionalidad</t>
        </is>
      </c>
      <c r="G52" s="8" t="inlineStr">
        <is>
          <t>Cuenta híbrida y cambio de modo sin cerrar sesión</t>
        </is>
      </c>
      <c r="H52" s="9" t="inlineStr">
        <is>
          <t>Imprescindible</t>
        </is>
      </c>
      <c r="I52" s="6" t="inlineStr">
        <is>
          <t>MVP</t>
        </is>
      </c>
      <c r="J52" s="6" t="n">
        <v>2</v>
      </c>
      <c r="K52" s="8" t="inlineStr">
        <is>
          <t>Red social</t>
        </is>
      </c>
      <c r="L52" s="8" t="inlineStr">
        <is>
          <t>OB-02-002/003</t>
        </is>
      </c>
      <c r="M52" s="8" t="inlineStr">
        <is>
          <t>Backend</t>
        </is>
      </c>
      <c r="N52" s="8" t="inlineStr">
        <is>
          <t>enable-mode / switch-mode (no concede permisos)</t>
        </is>
      </c>
    </row>
    <row r="53">
      <c r="A53" s="6" t="n">
        <v>48</v>
      </c>
      <c r="B53" s="7">
        <f>IF(C53="Completo","☑",IF(C53="En progreso","◐","☐"))</f>
        <v/>
      </c>
      <c r="C53" s="6" t="inlineStr">
        <is>
          <t>En progreso</t>
        </is>
      </c>
      <c r="D53" s="6" t="inlineStr">
        <is>
          <t>ACC-F09</t>
        </is>
      </c>
      <c r="E53" s="8" t="inlineStr">
        <is>
          <t>01 · Identidad y Cuentas</t>
        </is>
      </c>
      <c r="F53" s="6" t="inlineStr">
        <is>
          <t>Funcionalidad</t>
        </is>
      </c>
      <c r="G53" s="8" t="inlineStr">
        <is>
          <t>Alertas de seguridad de la cuenta</t>
        </is>
      </c>
      <c r="H53" s="9" t="inlineStr">
        <is>
          <t>Imprescindible</t>
        </is>
      </c>
      <c r="I53" s="6" t="inlineStr">
        <is>
          <t>MVP</t>
        </is>
      </c>
      <c r="J53" s="6" t="n">
        <v>2</v>
      </c>
      <c r="K53" s="8" t="inlineStr">
        <is>
          <t>Red social</t>
        </is>
      </c>
      <c r="L53" s="8" t="inlineStr">
        <is>
          <t>§13.1</t>
        </is>
      </c>
      <c r="M53" s="8" t="inlineStr">
        <is>
          <t>Backend</t>
        </is>
      </c>
      <c r="N53" s="8" t="inlineStr">
        <is>
          <t>Handler implementado (cambio de contraseña/correo/teléfono, MFA, bloqueo); falta probar con SMTP real</t>
        </is>
      </c>
    </row>
    <row r="54">
      <c r="A54" s="6" t="n">
        <v>49</v>
      </c>
      <c r="B54" s="7">
        <f>IF(C54="Completo","☑",IF(C54="En progreso","◐","☐"))</f>
        <v/>
      </c>
      <c r="C54" s="6" t="inlineStr">
        <is>
          <t>En progreso</t>
        </is>
      </c>
      <c r="D54" s="6" t="inlineStr">
        <is>
          <t>ADM-M01</t>
        </is>
      </c>
      <c r="E54" s="8" t="inlineStr">
        <is>
          <t>26 · Administración y Auditoría</t>
        </is>
      </c>
      <c r="F54" s="6" t="inlineStr">
        <is>
          <t>Mantenimiento</t>
        </is>
      </c>
      <c r="G54" s="8" t="inlineStr">
        <is>
          <t>Usuarios internos y roles</t>
        </is>
      </c>
      <c r="H54" s="9" t="inlineStr">
        <is>
          <t>Imprescindible</t>
        </is>
      </c>
      <c r="I54" s="6" t="inlineStr">
        <is>
          <t>MVP</t>
        </is>
      </c>
      <c r="J54" s="6" t="n">
        <v>2</v>
      </c>
      <c r="K54" s="8" t="inlineStr">
        <is>
          <t>Gobierno</t>
        </is>
      </c>
      <c r="L54" s="8" t="inlineStr">
        <is>
          <t>OB-41</t>
        </is>
      </c>
      <c r="M54" s="8" t="inlineStr"/>
      <c r="N54" s="8" t="inlineStr"/>
    </row>
    <row r="55">
      <c r="A55" s="6" t="n">
        <v>50</v>
      </c>
      <c r="B55" s="7">
        <f>IF(C55="Completo","☑",IF(C55="En progreso","◐","☐"))</f>
        <v/>
      </c>
      <c r="C55" s="6" t="inlineStr">
        <is>
          <t>Pendiente</t>
        </is>
      </c>
      <c r="D55" s="6" t="inlineStr">
        <is>
          <t>LEG-M01</t>
        </is>
      </c>
      <c r="E55" s="8" t="inlineStr">
        <is>
          <t>LEG · Cumplimiento Legal y Fiscal</t>
        </is>
      </c>
      <c r="F55" s="6" t="inlineStr">
        <is>
          <t>Mantenimiento</t>
        </is>
      </c>
      <c r="G55" s="8" t="inlineStr">
        <is>
          <t>Términos, privacidad, cancelación y acuerdo con profesionales (abogado)</t>
        </is>
      </c>
      <c r="H55" s="9" t="inlineStr">
        <is>
          <t>Imprescindible</t>
        </is>
      </c>
      <c r="I55" s="6" t="inlineStr">
        <is>
          <t>MVP</t>
        </is>
      </c>
      <c r="J55" s="6" t="n">
        <v>2</v>
      </c>
      <c r="K55" s="8" t="inlineStr">
        <is>
          <t>Áreas transversales</t>
        </is>
      </c>
      <c r="L55" s="8" t="inlineStr">
        <is>
          <t>OB-01-001, §21.2</t>
        </is>
      </c>
      <c r="M55" s="8" t="inlineStr"/>
      <c r="N55" s="8" t="inlineStr"/>
    </row>
    <row r="56">
      <c r="A56" s="10" t="n">
        <v>51</v>
      </c>
      <c r="B56" s="11">
        <f>IF(C56="Completo","☑",IF(C56="En progreso","◐","☐"))</f>
        <v/>
      </c>
      <c r="C56" s="10" t="inlineStr">
        <is>
          <t>Pendiente</t>
        </is>
      </c>
      <c r="D56" s="10" t="inlineStr">
        <is>
          <t>PRF-M01</t>
        </is>
      </c>
      <c r="E56" s="12" t="inlineStr">
        <is>
          <t>02 · Perfiles</t>
        </is>
      </c>
      <c r="F56" s="10" t="inlineStr">
        <is>
          <t>Mantenimiento</t>
        </is>
      </c>
      <c r="G56" s="12" t="inlineStr">
        <is>
          <t>Reglas de @usuario (formato, reservados, frecuencia de cambio)</t>
        </is>
      </c>
      <c r="H56" s="13" t="inlineStr">
        <is>
          <t>Imprescindible</t>
        </is>
      </c>
      <c r="I56" s="10" t="inlineStr">
        <is>
          <t>MVP</t>
        </is>
      </c>
      <c r="J56" s="10" t="n">
        <v>3</v>
      </c>
      <c r="K56" s="12" t="inlineStr">
        <is>
          <t>Red social</t>
        </is>
      </c>
      <c r="L56" s="12" t="inlineStr">
        <is>
          <t>—</t>
        </is>
      </c>
      <c r="M56" s="12" t="inlineStr"/>
      <c r="N56" s="12" t="inlineStr"/>
    </row>
    <row r="57">
      <c r="A57" s="10" t="n">
        <v>52</v>
      </c>
      <c r="B57" s="11">
        <f>IF(C57="Completo","☑",IF(C57="En progreso","◐","☐"))</f>
        <v/>
      </c>
      <c r="C57" s="10" t="inlineStr">
        <is>
          <t>Pendiente</t>
        </is>
      </c>
      <c r="D57" s="10" t="inlineStr">
        <is>
          <t>PRF-M02</t>
        </is>
      </c>
      <c r="E57" s="12" t="inlineStr">
        <is>
          <t>02 · Perfiles</t>
        </is>
      </c>
      <c r="F57" s="10" t="inlineStr">
        <is>
          <t>Mantenimiento</t>
        </is>
      </c>
      <c r="G57" s="12" t="inlineStr">
        <is>
          <t>Tipos de cuenta pública (cliente, profesional, negocio)</t>
        </is>
      </c>
      <c r="H57" s="13" t="inlineStr">
        <is>
          <t>Imprescindible</t>
        </is>
      </c>
      <c r="I57" s="10" t="inlineStr">
        <is>
          <t>MVP</t>
        </is>
      </c>
      <c r="J57" s="10" t="n">
        <v>3</v>
      </c>
      <c r="K57" s="12" t="inlineStr">
        <is>
          <t>Red social</t>
        </is>
      </c>
      <c r="L57" s="12" t="inlineStr">
        <is>
          <t>§8.1</t>
        </is>
      </c>
      <c r="M57" s="12" t="inlineStr"/>
      <c r="N57" s="12" t="inlineStr"/>
    </row>
    <row r="58">
      <c r="A58" s="10" t="n">
        <v>53</v>
      </c>
      <c r="B58" s="11">
        <f>IF(C58="Completo","☑",IF(C58="En progreso","◐","☐"))</f>
        <v/>
      </c>
      <c r="C58" s="10" t="inlineStr">
        <is>
          <t>Pendiente</t>
        </is>
      </c>
      <c r="D58" s="10" t="inlineStr">
        <is>
          <t>PRF-F01</t>
        </is>
      </c>
      <c r="E58" s="12" t="inlineStr">
        <is>
          <t>02 · Perfiles</t>
        </is>
      </c>
      <c r="F58" s="10" t="inlineStr">
        <is>
          <t>Funcionalidad</t>
        </is>
      </c>
      <c r="G58" s="12" t="inlineStr">
        <is>
          <t>Crear/editar perfil (foto, portada, bio, @usuario, enlaces)</t>
        </is>
      </c>
      <c r="H58" s="13" t="inlineStr">
        <is>
          <t>Imprescindible</t>
        </is>
      </c>
      <c r="I58" s="10" t="inlineStr">
        <is>
          <t>MVP</t>
        </is>
      </c>
      <c r="J58" s="10" t="n">
        <v>3</v>
      </c>
      <c r="K58" s="12" t="inlineStr">
        <is>
          <t>Red social</t>
        </is>
      </c>
      <c r="L58" s="12" t="inlineStr">
        <is>
          <t>OB-03-001, OB-07-001</t>
        </is>
      </c>
      <c r="M58" s="12" t="inlineStr"/>
      <c r="N58" s="12" t="inlineStr"/>
    </row>
    <row r="59">
      <c r="A59" s="10" t="n">
        <v>54</v>
      </c>
      <c r="B59" s="11">
        <f>IF(C59="Completo","☑",IF(C59="En progreso","◐","☐"))</f>
        <v/>
      </c>
      <c r="C59" s="10" t="inlineStr">
        <is>
          <t>Pendiente</t>
        </is>
      </c>
      <c r="D59" s="10" t="inlineStr">
        <is>
          <t>PRF-F02</t>
        </is>
      </c>
      <c r="E59" s="12" t="inlineStr">
        <is>
          <t>02 · Perfiles</t>
        </is>
      </c>
      <c r="F59" s="10" t="inlineStr">
        <is>
          <t>Funcionalidad</t>
        </is>
      </c>
      <c r="G59" s="12" t="inlineStr">
        <is>
          <t>Perfil público compartible sin datos privados</t>
        </is>
      </c>
      <c r="H59" s="13" t="inlineStr">
        <is>
          <t>Imprescindible</t>
        </is>
      </c>
      <c r="I59" s="10" t="inlineStr">
        <is>
          <t>MVP</t>
        </is>
      </c>
      <c r="J59" s="10" t="n">
        <v>3</v>
      </c>
      <c r="K59" s="12" t="inlineStr">
        <is>
          <t>Red social</t>
        </is>
      </c>
      <c r="L59" s="12" t="inlineStr">
        <is>
          <t>OB-07-001</t>
        </is>
      </c>
      <c r="M59" s="12" t="inlineStr"/>
      <c r="N59" s="12" t="inlineStr"/>
    </row>
    <row r="60">
      <c r="A60" s="10" t="n">
        <v>55</v>
      </c>
      <c r="B60" s="11">
        <f>IF(C60="Completo","☑",IF(C60="En progreso","◐","☐"))</f>
        <v/>
      </c>
      <c r="C60" s="10" t="inlineStr">
        <is>
          <t>Pendiente</t>
        </is>
      </c>
      <c r="D60" s="10" t="inlineStr">
        <is>
          <t>PRF-F03</t>
        </is>
      </c>
      <c r="E60" s="12" t="inlineStr">
        <is>
          <t>02 · Perfiles</t>
        </is>
      </c>
      <c r="F60" s="10" t="inlineStr">
        <is>
          <t>Funcionalidad</t>
        </is>
      </c>
      <c r="G60" s="12" t="inlineStr">
        <is>
          <t>Cuenta pública o privada</t>
        </is>
      </c>
      <c r="H60" s="13" t="inlineStr">
        <is>
          <t>Imprescindible</t>
        </is>
      </c>
      <c r="I60" s="10" t="inlineStr">
        <is>
          <t>MVP</t>
        </is>
      </c>
      <c r="J60" s="10" t="n">
        <v>3</v>
      </c>
      <c r="K60" s="12" t="inlineStr">
        <is>
          <t>Red social</t>
        </is>
      </c>
      <c r="L60" s="12" t="inlineStr">
        <is>
          <t>OB-48-003</t>
        </is>
      </c>
      <c r="M60" s="12" t="inlineStr"/>
      <c r="N60" s="12" t="inlineStr"/>
    </row>
    <row r="61">
      <c r="A61" s="10" t="n">
        <v>56</v>
      </c>
      <c r="B61" s="11">
        <f>IF(C61="Completo","☑",IF(C61="En progreso","◐","☐"))</f>
        <v/>
      </c>
      <c r="C61" s="10" t="inlineStr">
        <is>
          <t>Pendiente</t>
        </is>
      </c>
      <c r="D61" s="10" t="inlineStr">
        <is>
          <t>GRF-M01</t>
        </is>
      </c>
      <c r="E61" s="12" t="inlineStr">
        <is>
          <t>03 · Grafo Social</t>
        </is>
      </c>
      <c r="F61" s="10" t="inlineStr">
        <is>
          <t>Mantenimiento</t>
        </is>
      </c>
      <c r="G61" s="12" t="inlineStr">
        <is>
          <t>Límites anti-spam de seguimiento</t>
        </is>
      </c>
      <c r="H61" s="13" t="inlineStr">
        <is>
          <t>Imprescindible</t>
        </is>
      </c>
      <c r="I61" s="10" t="inlineStr">
        <is>
          <t>MVP</t>
        </is>
      </c>
      <c r="J61" s="10" t="n">
        <v>3</v>
      </c>
      <c r="K61" s="12" t="inlineStr">
        <is>
          <t>Red social</t>
        </is>
      </c>
      <c r="L61" s="12" t="inlineStr">
        <is>
          <t>OB-47-006</t>
        </is>
      </c>
      <c r="M61" s="12" t="inlineStr"/>
      <c r="N61" s="12" t="inlineStr"/>
    </row>
    <row r="62">
      <c r="A62" s="10" t="n">
        <v>57</v>
      </c>
      <c r="B62" s="11">
        <f>IF(C62="Completo","☑",IF(C62="En progreso","◐","☐"))</f>
        <v/>
      </c>
      <c r="C62" s="10" t="inlineStr">
        <is>
          <t>Pendiente</t>
        </is>
      </c>
      <c r="D62" s="10" t="inlineStr">
        <is>
          <t>GRF-F01</t>
        </is>
      </c>
      <c r="E62" s="12" t="inlineStr">
        <is>
          <t>03 · Grafo Social</t>
        </is>
      </c>
      <c r="F62" s="10" t="inlineStr">
        <is>
          <t>Funcionalidad</t>
        </is>
      </c>
      <c r="G62" s="12" t="inlineStr">
        <is>
          <t>Seguir / dejar de seguir</t>
        </is>
      </c>
      <c r="H62" s="13" t="inlineStr">
        <is>
          <t>Imprescindible</t>
        </is>
      </c>
      <c r="I62" s="10" t="inlineStr">
        <is>
          <t>MVP</t>
        </is>
      </c>
      <c r="J62" s="10" t="n">
        <v>3</v>
      </c>
      <c r="K62" s="12" t="inlineStr">
        <is>
          <t>Red social</t>
        </is>
      </c>
      <c r="L62" s="12" t="inlineStr">
        <is>
          <t>OB-10-006</t>
        </is>
      </c>
      <c r="M62" s="12" t="inlineStr"/>
      <c r="N62" s="12" t="inlineStr"/>
    </row>
    <row r="63">
      <c r="A63" s="10" t="n">
        <v>58</v>
      </c>
      <c r="B63" s="11">
        <f>IF(C63="Completo","☑",IF(C63="En progreso","◐","☐"))</f>
        <v/>
      </c>
      <c r="C63" s="10" t="inlineStr">
        <is>
          <t>Pendiente</t>
        </is>
      </c>
      <c r="D63" s="10" t="inlineStr">
        <is>
          <t>GRF-F02</t>
        </is>
      </c>
      <c r="E63" s="12" t="inlineStr">
        <is>
          <t>03 · Grafo Social</t>
        </is>
      </c>
      <c r="F63" s="10" t="inlineStr">
        <is>
          <t>Funcionalidad</t>
        </is>
      </c>
      <c r="G63" s="12" t="inlineStr">
        <is>
          <t>Solicitudes de seguimiento para cuentas privadas</t>
        </is>
      </c>
      <c r="H63" s="13" t="inlineStr">
        <is>
          <t>Imprescindible</t>
        </is>
      </c>
      <c r="I63" s="10" t="inlineStr">
        <is>
          <t>MVP</t>
        </is>
      </c>
      <c r="J63" s="10" t="n">
        <v>3</v>
      </c>
      <c r="K63" s="12" t="inlineStr">
        <is>
          <t>Red social</t>
        </is>
      </c>
      <c r="L63" s="12" t="inlineStr">
        <is>
          <t>OB-48-003</t>
        </is>
      </c>
      <c r="M63" s="12" t="inlineStr"/>
      <c r="N63" s="12" t="inlineStr"/>
    </row>
    <row r="64">
      <c r="A64" s="10" t="n">
        <v>59</v>
      </c>
      <c r="B64" s="11">
        <f>IF(C64="Completo","☑",IF(C64="En progreso","◐","☐"))</f>
        <v/>
      </c>
      <c r="C64" s="10" t="inlineStr">
        <is>
          <t>Pendiente</t>
        </is>
      </c>
      <c r="D64" s="10" t="inlineStr">
        <is>
          <t>GRF-F03</t>
        </is>
      </c>
      <c r="E64" s="12" t="inlineStr">
        <is>
          <t>03 · Grafo Social</t>
        </is>
      </c>
      <c r="F64" s="10" t="inlineStr">
        <is>
          <t>Funcionalidad</t>
        </is>
      </c>
      <c r="G64" s="12" t="inlineStr">
        <is>
          <t>Bloquear usuario (oculta contenido, impide mensajes)</t>
        </is>
      </c>
      <c r="H64" s="13" t="inlineStr">
        <is>
          <t>Imprescindible</t>
        </is>
      </c>
      <c r="I64" s="10" t="inlineStr">
        <is>
          <t>MVP</t>
        </is>
      </c>
      <c r="J64" s="10" t="n">
        <v>3</v>
      </c>
      <c r="K64" s="12" t="inlineStr">
        <is>
          <t>Red social</t>
        </is>
      </c>
      <c r="L64" s="12" t="inlineStr">
        <is>
          <t>OB-20-006</t>
        </is>
      </c>
      <c r="M64" s="12" t="inlineStr"/>
      <c r="N64" s="12" t="inlineStr"/>
    </row>
    <row r="65">
      <c r="A65" s="10" t="n">
        <v>60</v>
      </c>
      <c r="B65" s="11">
        <f>IF(C65="Completo","☑",IF(C65="En progreso","◐","☐"))</f>
        <v/>
      </c>
      <c r="C65" s="10" t="inlineStr">
        <is>
          <t>Pendiente</t>
        </is>
      </c>
      <c r="D65" s="10" t="inlineStr">
        <is>
          <t>GRF-F04</t>
        </is>
      </c>
      <c r="E65" s="12" t="inlineStr">
        <is>
          <t>03 · Grafo Social</t>
        </is>
      </c>
      <c r="F65" s="10" t="inlineStr">
        <is>
          <t>Funcionalidad</t>
        </is>
      </c>
      <c r="G65" s="12" t="inlineStr">
        <is>
          <t>Listas de seguidores/seguidos con contadores</t>
        </is>
      </c>
      <c r="H65" s="13" t="inlineStr">
        <is>
          <t>Imprescindible</t>
        </is>
      </c>
      <c r="I65" s="10" t="inlineStr">
        <is>
          <t>MVP</t>
        </is>
      </c>
      <c r="J65" s="10" t="n">
        <v>3</v>
      </c>
      <c r="K65" s="12" t="inlineStr">
        <is>
          <t>Red social</t>
        </is>
      </c>
      <c r="L65" s="12" t="inlineStr">
        <is>
          <t>OB-10-006</t>
        </is>
      </c>
      <c r="M65" s="12" t="inlineStr"/>
      <c r="N65" s="12" t="inlineStr"/>
    </row>
    <row r="66">
      <c r="A66" s="10" t="n">
        <v>61</v>
      </c>
      <c r="B66" s="11">
        <f>IF(C66="Completo","☑",IF(C66="En progreso","◐","☐"))</f>
        <v/>
      </c>
      <c r="C66" s="10" t="inlineStr">
        <is>
          <t>Pendiente</t>
        </is>
      </c>
      <c r="D66" s="10" t="inlineStr">
        <is>
          <t>MED-M01</t>
        </is>
      </c>
      <c r="E66" s="12" t="inlineStr">
        <is>
          <t>08 · Media</t>
        </is>
      </c>
      <c r="F66" s="10" t="inlineStr">
        <is>
          <t>Mantenimiento</t>
        </is>
      </c>
      <c r="G66" s="12" t="inlineStr">
        <is>
          <t>Políticas por propósito (tipos, tamaño, retención, visibilidad)</t>
        </is>
      </c>
      <c r="H66" s="13" t="inlineStr">
        <is>
          <t>Imprescindible</t>
        </is>
      </c>
      <c r="I66" s="10" t="inlineStr">
        <is>
          <t>MVP</t>
        </is>
      </c>
      <c r="J66" s="10" t="n">
        <v>3</v>
      </c>
      <c r="K66" s="12" t="inlineStr">
        <is>
          <t>Soporte de la red</t>
        </is>
      </c>
      <c r="L66" s="12" t="inlineStr">
        <is>
          <t>§15.2</t>
        </is>
      </c>
      <c r="M66" s="12" t="inlineStr"/>
      <c r="N66" s="12" t="inlineStr"/>
    </row>
    <row r="67">
      <c r="A67" s="10" t="n">
        <v>62</v>
      </c>
      <c r="B67" s="11">
        <f>IF(C67="Completo","☑",IF(C67="En progreso","◐","☐"))</f>
        <v/>
      </c>
      <c r="C67" s="10" t="inlineStr">
        <is>
          <t>Pendiente</t>
        </is>
      </c>
      <c r="D67" s="10" t="inlineStr">
        <is>
          <t>MED-F01</t>
        </is>
      </c>
      <c r="E67" s="12" t="inlineStr">
        <is>
          <t>08 · Media</t>
        </is>
      </c>
      <c r="F67" s="10" t="inlineStr">
        <is>
          <t>Funcionalidad</t>
        </is>
      </c>
      <c r="G67" s="12" t="inlineStr">
        <is>
          <t>Subida directa con URL firmada a S3/R2</t>
        </is>
      </c>
      <c r="H67" s="13" t="inlineStr">
        <is>
          <t>Imprescindible</t>
        </is>
      </c>
      <c r="I67" s="10" t="inlineStr">
        <is>
          <t>MVP</t>
        </is>
      </c>
      <c r="J67" s="10" t="n">
        <v>3</v>
      </c>
      <c r="K67" s="12" t="inlineStr">
        <is>
          <t>Soporte de la red</t>
        </is>
      </c>
      <c r="L67" s="12" t="inlineStr">
        <is>
          <t>TECH-05-001</t>
        </is>
      </c>
      <c r="M67" s="12" t="inlineStr"/>
      <c r="N67" s="12" t="inlineStr"/>
    </row>
    <row r="68">
      <c r="A68" s="10" t="n">
        <v>63</v>
      </c>
      <c r="B68" s="11">
        <f>IF(C68="Completo","☑",IF(C68="En progreso","◐","☐"))</f>
        <v/>
      </c>
      <c r="C68" s="10" t="inlineStr">
        <is>
          <t>Pendiente</t>
        </is>
      </c>
      <c r="D68" s="10" t="inlineStr">
        <is>
          <t>MED-F02</t>
        </is>
      </c>
      <c r="E68" s="12" t="inlineStr">
        <is>
          <t>08 · Media</t>
        </is>
      </c>
      <c r="F68" s="10" t="inlineStr">
        <is>
          <t>Funcionalidad</t>
        </is>
      </c>
      <c r="G68" s="12" t="inlineStr">
        <is>
          <t>Validación de tipo real, tamaño y antimalware</t>
        </is>
      </c>
      <c r="H68" s="13" t="inlineStr">
        <is>
          <t>Imprescindible</t>
        </is>
      </c>
      <c r="I68" s="10" t="inlineStr">
        <is>
          <t>MVP</t>
        </is>
      </c>
      <c r="J68" s="10" t="n">
        <v>3</v>
      </c>
      <c r="K68" s="12" t="inlineStr">
        <is>
          <t>Soporte de la red</t>
        </is>
      </c>
      <c r="L68" s="12" t="inlineStr">
        <is>
          <t>TECH-05-001</t>
        </is>
      </c>
      <c r="M68" s="12" t="inlineStr"/>
      <c r="N68" s="12" t="inlineStr"/>
    </row>
    <row r="69">
      <c r="A69" s="10" t="n">
        <v>64</v>
      </c>
      <c r="B69" s="11">
        <f>IF(C69="Completo","☑",IF(C69="En progreso","◐","☐"))</f>
        <v/>
      </c>
      <c r="C69" s="10" t="inlineStr">
        <is>
          <t>Pendiente</t>
        </is>
      </c>
      <c r="D69" s="10" t="inlineStr">
        <is>
          <t>MED-F03</t>
        </is>
      </c>
      <c r="E69" s="12" t="inlineStr">
        <is>
          <t>08 · Media</t>
        </is>
      </c>
      <c r="F69" s="10" t="inlineStr">
        <is>
          <t>Funcionalidad</t>
        </is>
      </c>
      <c r="G69" s="12" t="inlineStr">
        <is>
          <t>Almacenamiento privado (KYC) vs público + CDN</t>
        </is>
      </c>
      <c r="H69" s="13" t="inlineStr">
        <is>
          <t>Imprescindible</t>
        </is>
      </c>
      <c r="I69" s="10" t="inlineStr">
        <is>
          <t>MVP</t>
        </is>
      </c>
      <c r="J69" s="10" t="n">
        <v>3</v>
      </c>
      <c r="K69" s="12" t="inlineStr">
        <is>
          <t>Soporte de la red</t>
        </is>
      </c>
      <c r="L69" s="12" t="inlineStr">
        <is>
          <t>§15.2</t>
        </is>
      </c>
      <c r="M69" s="12" t="inlineStr"/>
      <c r="N69" s="12" t="inlineStr"/>
    </row>
    <row r="70">
      <c r="A70" s="6" t="n">
        <v>65</v>
      </c>
      <c r="B70" s="7">
        <f>IF(C70="Completo","☑",IF(C70="En progreso","◐","☐"))</f>
        <v/>
      </c>
      <c r="C70" s="6" t="inlineStr">
        <is>
          <t>Pendiente</t>
        </is>
      </c>
      <c r="D70" s="6" t="inlineStr">
        <is>
          <t>PLT-F16</t>
        </is>
      </c>
      <c r="E70" s="8" t="inlineStr">
        <is>
          <t>00 · Plataforma y Shared Kernel</t>
        </is>
      </c>
      <c r="F70" s="6" t="inlineStr">
        <is>
          <t>Funcionalidad</t>
        </is>
      </c>
      <c r="G70" s="8" t="inlineStr">
        <is>
          <t>Contadores de alto volumen (likes, seguidores) en Redis con consolidación</t>
        </is>
      </c>
      <c r="H70" s="9" t="inlineStr">
        <is>
          <t>Imprescindible</t>
        </is>
      </c>
      <c r="I70" s="6" t="inlineStr">
        <is>
          <t>MVP</t>
        </is>
      </c>
      <c r="J70" s="6" t="n">
        <v>4</v>
      </c>
      <c r="K70" s="8" t="inlineStr">
        <is>
          <t>Base</t>
        </is>
      </c>
      <c r="L70" s="8" t="inlineStr">
        <is>
          <t>OB-10-002</t>
        </is>
      </c>
      <c r="M70" s="8" t="inlineStr"/>
      <c r="N70" s="8" t="inlineStr"/>
    </row>
    <row r="71">
      <c r="A71" s="6" t="n">
        <v>66</v>
      </c>
      <c r="B71" s="7">
        <f>IF(C71="Completo","☑",IF(C71="En progreso","◐","☐"))</f>
        <v/>
      </c>
      <c r="C71" s="6" t="inlineStr">
        <is>
          <t>Pendiente</t>
        </is>
      </c>
      <c r="D71" s="6" t="inlineStr">
        <is>
          <t>CNT-M01</t>
        </is>
      </c>
      <c r="E71" s="8" t="inlineStr">
        <is>
          <t>04 · Contenido</t>
        </is>
      </c>
      <c r="F71" s="6" t="inlineStr">
        <is>
          <t>Mantenimiento</t>
        </is>
      </c>
      <c r="G71" s="8" t="inlineStr">
        <is>
          <t>Políticas de contenido (longitud, adjuntos, filtros)</t>
        </is>
      </c>
      <c r="H71" s="9" t="inlineStr">
        <is>
          <t>Imprescindible</t>
        </is>
      </c>
      <c r="I71" s="6" t="inlineStr">
        <is>
          <t>MVP</t>
        </is>
      </c>
      <c r="J71" s="6" t="n">
        <v>4</v>
      </c>
      <c r="K71" s="8" t="inlineStr">
        <is>
          <t>Red social</t>
        </is>
      </c>
      <c r="L71" s="8" t="inlineStr">
        <is>
          <t>OB-10-001</t>
        </is>
      </c>
      <c r="M71" s="8" t="inlineStr"/>
      <c r="N71" s="8" t="inlineStr"/>
    </row>
    <row r="72">
      <c r="A72" s="6" t="n">
        <v>67</v>
      </c>
      <c r="B72" s="7">
        <f>IF(C72="Completo","☑",IF(C72="En progreso","◐","☐"))</f>
        <v/>
      </c>
      <c r="C72" s="6" t="inlineStr">
        <is>
          <t>Pendiente</t>
        </is>
      </c>
      <c r="D72" s="6" t="inlineStr">
        <is>
          <t>CNT-M02</t>
        </is>
      </c>
      <c r="E72" s="8" t="inlineStr">
        <is>
          <t>04 · Contenido</t>
        </is>
      </c>
      <c r="F72" s="6" t="inlineStr">
        <is>
          <t>Mantenimiento</t>
        </is>
      </c>
      <c r="G72" s="8" t="inlineStr">
        <is>
          <t>Hashtags oficiales y bloqueados</t>
        </is>
      </c>
      <c r="H72" s="9" t="inlineStr">
        <is>
          <t>Imprescindible</t>
        </is>
      </c>
      <c r="I72" s="6" t="inlineStr">
        <is>
          <t>MVP</t>
        </is>
      </c>
      <c r="J72" s="6" t="n">
        <v>4</v>
      </c>
      <c r="K72" s="8" t="inlineStr">
        <is>
          <t>Red social</t>
        </is>
      </c>
      <c r="L72" s="8" t="inlineStr">
        <is>
          <t>—</t>
        </is>
      </c>
      <c r="M72" s="8" t="inlineStr"/>
      <c r="N72" s="8" t="inlineStr"/>
    </row>
    <row r="73">
      <c r="A73" s="6" t="n">
        <v>68</v>
      </c>
      <c r="B73" s="7">
        <f>IF(C73="Completo","☑",IF(C73="En progreso","◐","☐"))</f>
        <v/>
      </c>
      <c r="C73" s="6" t="inlineStr">
        <is>
          <t>Pendiente</t>
        </is>
      </c>
      <c r="D73" s="6" t="inlineStr">
        <is>
          <t>CNT-F01</t>
        </is>
      </c>
      <c r="E73" s="8" t="inlineStr">
        <is>
          <t>04 · Contenido</t>
        </is>
      </c>
      <c r="F73" s="6" t="inlineStr">
        <is>
          <t>Funcionalidad</t>
        </is>
      </c>
      <c r="G73" s="8" t="inlineStr">
        <is>
          <t>Crear publicación (foto, carrusel, texto)</t>
        </is>
      </c>
      <c r="H73" s="9" t="inlineStr">
        <is>
          <t>Imprescindible</t>
        </is>
      </c>
      <c r="I73" s="6" t="inlineStr">
        <is>
          <t>MVP</t>
        </is>
      </c>
      <c r="J73" s="6" t="n">
        <v>4</v>
      </c>
      <c r="K73" s="8" t="inlineStr">
        <is>
          <t>Red social</t>
        </is>
      </c>
      <c r="L73" s="8" t="inlineStr">
        <is>
          <t>OB-10-001</t>
        </is>
      </c>
      <c r="M73" s="8" t="inlineStr"/>
      <c r="N73" s="8" t="inlineStr"/>
    </row>
    <row r="74">
      <c r="A74" s="6" t="n">
        <v>69</v>
      </c>
      <c r="B74" s="7">
        <f>IF(C74="Completo","☑",IF(C74="En progreso","◐","☐"))</f>
        <v/>
      </c>
      <c r="C74" s="6" t="inlineStr">
        <is>
          <t>Pendiente</t>
        </is>
      </c>
      <c r="D74" s="6" t="inlineStr">
        <is>
          <t>CNT-F02</t>
        </is>
      </c>
      <c r="E74" s="8" t="inlineStr">
        <is>
          <t>04 · Contenido</t>
        </is>
      </c>
      <c r="F74" s="6" t="inlineStr">
        <is>
          <t>Funcionalidad</t>
        </is>
      </c>
      <c r="G74" s="8" t="inlineStr">
        <is>
          <t>Editar, archivar, eliminar y cerrar comentarios</t>
        </is>
      </c>
      <c r="H74" s="9" t="inlineStr">
        <is>
          <t>Imprescindible</t>
        </is>
      </c>
      <c r="I74" s="6" t="inlineStr">
        <is>
          <t>MVP</t>
        </is>
      </c>
      <c r="J74" s="6" t="n">
        <v>4</v>
      </c>
      <c r="K74" s="8" t="inlineStr">
        <is>
          <t>Red social</t>
        </is>
      </c>
      <c r="L74" s="8" t="inlineStr">
        <is>
          <t>OB-10-001</t>
        </is>
      </c>
      <c r="M74" s="8" t="inlineStr"/>
      <c r="N74" s="8" t="inlineStr"/>
    </row>
    <row r="75">
      <c r="A75" s="6" t="n">
        <v>70</v>
      </c>
      <c r="B75" s="7">
        <f>IF(C75="Completo","☑",IF(C75="En progreso","◐","☐"))</f>
        <v/>
      </c>
      <c r="C75" s="6" t="inlineStr">
        <is>
          <t>Pendiente</t>
        </is>
      </c>
      <c r="D75" s="6" t="inlineStr">
        <is>
          <t>CNT-F03</t>
        </is>
      </c>
      <c r="E75" s="8" t="inlineStr">
        <is>
          <t>04 · Contenido</t>
        </is>
      </c>
      <c r="F75" s="6" t="inlineStr">
        <is>
          <t>Funcionalidad</t>
        </is>
      </c>
      <c r="G75" s="8" t="inlineStr">
        <is>
          <t>Me gusta</t>
        </is>
      </c>
      <c r="H75" s="9" t="inlineStr">
        <is>
          <t>Imprescindible</t>
        </is>
      </c>
      <c r="I75" s="6" t="inlineStr">
        <is>
          <t>MVP</t>
        </is>
      </c>
      <c r="J75" s="6" t="n">
        <v>4</v>
      </c>
      <c r="K75" s="8" t="inlineStr">
        <is>
          <t>Red social</t>
        </is>
      </c>
      <c r="L75" s="8" t="inlineStr">
        <is>
          <t>OB-10-002</t>
        </is>
      </c>
      <c r="M75" s="8" t="inlineStr"/>
      <c r="N75" s="8" t="inlineStr"/>
    </row>
    <row r="76">
      <c r="A76" s="6" t="n">
        <v>71</v>
      </c>
      <c r="B76" s="7">
        <f>IF(C76="Completo","☑",IF(C76="En progreso","◐","☐"))</f>
        <v/>
      </c>
      <c r="C76" s="6" t="inlineStr">
        <is>
          <t>Pendiente</t>
        </is>
      </c>
      <c r="D76" s="6" t="inlineStr">
        <is>
          <t>CNT-F04</t>
        </is>
      </c>
      <c r="E76" s="8" t="inlineStr">
        <is>
          <t>04 · Contenido</t>
        </is>
      </c>
      <c r="F76" s="6" t="inlineStr">
        <is>
          <t>Funcionalidad</t>
        </is>
      </c>
      <c r="G76" s="8" t="inlineStr">
        <is>
          <t>Comentarios y respuestas</t>
        </is>
      </c>
      <c r="H76" s="9" t="inlineStr">
        <is>
          <t>Imprescindible</t>
        </is>
      </c>
      <c r="I76" s="6" t="inlineStr">
        <is>
          <t>MVP</t>
        </is>
      </c>
      <c r="J76" s="6" t="n">
        <v>4</v>
      </c>
      <c r="K76" s="8" t="inlineStr">
        <is>
          <t>Red social</t>
        </is>
      </c>
      <c r="L76" s="8" t="inlineStr">
        <is>
          <t>OB-10-003</t>
        </is>
      </c>
      <c r="M76" s="8" t="inlineStr"/>
      <c r="N76" s="8" t="inlineStr"/>
    </row>
    <row r="77">
      <c r="A77" s="6" t="n">
        <v>72</v>
      </c>
      <c r="B77" s="7">
        <f>IF(C77="Completo","☑",IF(C77="En progreso","◐","☐"))</f>
        <v/>
      </c>
      <c r="C77" s="6" t="inlineStr">
        <is>
          <t>Pendiente</t>
        </is>
      </c>
      <c r="D77" s="6" t="inlineStr">
        <is>
          <t>CNT-F05</t>
        </is>
      </c>
      <c r="E77" s="8" t="inlineStr">
        <is>
          <t>04 · Contenido</t>
        </is>
      </c>
      <c r="F77" s="6" t="inlineStr">
        <is>
          <t>Funcionalidad</t>
        </is>
      </c>
      <c r="G77" s="8" t="inlineStr">
        <is>
          <t>Guardar publicación</t>
        </is>
      </c>
      <c r="H77" s="9" t="inlineStr">
        <is>
          <t>Imprescindible</t>
        </is>
      </c>
      <c r="I77" s="6" t="inlineStr">
        <is>
          <t>MVP</t>
        </is>
      </c>
      <c r="J77" s="6" t="n">
        <v>4</v>
      </c>
      <c r="K77" s="8" t="inlineStr">
        <is>
          <t>Red social</t>
        </is>
      </c>
      <c r="L77" s="8" t="inlineStr">
        <is>
          <t>OB-10-004</t>
        </is>
      </c>
      <c r="M77" s="8" t="inlineStr"/>
      <c r="N77" s="8" t="inlineStr"/>
    </row>
    <row r="78">
      <c r="A78" s="6" t="n">
        <v>73</v>
      </c>
      <c r="B78" s="7">
        <f>IF(C78="Completo","☑",IF(C78="En progreso","◐","☐"))</f>
        <v/>
      </c>
      <c r="C78" s="6" t="inlineStr">
        <is>
          <t>Pendiente</t>
        </is>
      </c>
      <c r="D78" s="6" t="inlineStr">
        <is>
          <t>CNT-F06</t>
        </is>
      </c>
      <c r="E78" s="8" t="inlineStr">
        <is>
          <t>04 · Contenido</t>
        </is>
      </c>
      <c r="F78" s="6" t="inlineStr">
        <is>
          <t>Funcionalidad</t>
        </is>
      </c>
      <c r="G78" s="8" t="inlineStr">
        <is>
          <t>Compartir (interno y enlace)</t>
        </is>
      </c>
      <c r="H78" s="9" t="inlineStr">
        <is>
          <t>Imprescindible</t>
        </is>
      </c>
      <c r="I78" s="6" t="inlineStr">
        <is>
          <t>MVP</t>
        </is>
      </c>
      <c r="J78" s="6" t="n">
        <v>4</v>
      </c>
      <c r="K78" s="8" t="inlineStr">
        <is>
          <t>Red social</t>
        </is>
      </c>
      <c r="L78" s="8" t="inlineStr">
        <is>
          <t>OB-10-005</t>
        </is>
      </c>
      <c r="M78" s="8" t="inlineStr"/>
      <c r="N78" s="8" t="inlineStr"/>
    </row>
    <row r="79">
      <c r="A79" s="6" t="n">
        <v>74</v>
      </c>
      <c r="B79" s="7">
        <f>IF(C79="Completo","☑",IF(C79="En progreso","◐","☐"))</f>
        <v/>
      </c>
      <c r="C79" s="6" t="inlineStr">
        <is>
          <t>Pendiente</t>
        </is>
      </c>
      <c r="D79" s="6" t="inlineStr">
        <is>
          <t>CNT-F07</t>
        </is>
      </c>
      <c r="E79" s="8" t="inlineStr">
        <is>
          <t>04 · Contenido</t>
        </is>
      </c>
      <c r="F79" s="6" t="inlineStr">
        <is>
          <t>Funcionalidad</t>
        </is>
      </c>
      <c r="G79" s="8" t="inlineStr">
        <is>
          <t>Hashtags y menciones</t>
        </is>
      </c>
      <c r="H79" s="9" t="inlineStr">
        <is>
          <t>Imprescindible</t>
        </is>
      </c>
      <c r="I79" s="6" t="inlineStr">
        <is>
          <t>MVP</t>
        </is>
      </c>
      <c r="J79" s="6" t="n">
        <v>4</v>
      </c>
      <c r="K79" s="8" t="inlineStr">
        <is>
          <t>Red social</t>
        </is>
      </c>
      <c r="L79" s="8" t="inlineStr">
        <is>
          <t>—</t>
        </is>
      </c>
      <c r="M79" s="8" t="inlineStr"/>
      <c r="N79" s="8" t="inlineStr"/>
    </row>
    <row r="80">
      <c r="A80" s="6" t="n">
        <v>75</v>
      </c>
      <c r="B80" s="7">
        <f>IF(C80="Completo","☑",IF(C80="En progreso","◐","☐"))</f>
        <v/>
      </c>
      <c r="C80" s="6" t="inlineStr">
        <is>
          <t>Pendiente</t>
        </is>
      </c>
      <c r="D80" s="6" t="inlineStr">
        <is>
          <t>MED-F04</t>
        </is>
      </c>
      <c r="E80" s="8" t="inlineStr">
        <is>
          <t>08 · Media</t>
        </is>
      </c>
      <c r="F80" s="6" t="inlineStr">
        <is>
          <t>Funcionalidad</t>
        </is>
      </c>
      <c r="G80" s="8" t="inlineStr">
        <is>
          <t>Miniaturas, formatos modernos, eliminar EXIF/GPS</t>
        </is>
      </c>
      <c r="H80" s="9" t="inlineStr">
        <is>
          <t>Imprescindible</t>
        </is>
      </c>
      <c r="I80" s="6" t="inlineStr">
        <is>
          <t>MVP</t>
        </is>
      </c>
      <c r="J80" s="6" t="n">
        <v>4</v>
      </c>
      <c r="K80" s="8" t="inlineStr">
        <is>
          <t>Soporte de la red</t>
        </is>
      </c>
      <c r="L80" s="8" t="inlineStr">
        <is>
          <t>TECH-05-002</t>
        </is>
      </c>
      <c r="M80" s="8" t="inlineStr"/>
      <c r="N80" s="8" t="inlineStr"/>
    </row>
    <row r="81">
      <c r="A81" s="10" t="n">
        <v>76</v>
      </c>
      <c r="B81" s="11">
        <f>IF(C81="Completo","☑",IF(C81="En progreso","◐","☐"))</f>
        <v/>
      </c>
      <c r="C81" s="10" t="inlineStr">
        <is>
          <t>Pendiente</t>
        </is>
      </c>
      <c r="D81" s="10" t="inlineStr">
        <is>
          <t>FED-M01</t>
        </is>
      </c>
      <c r="E81" s="12" t="inlineStr">
        <is>
          <t>05 · Feed, Explorar y Búsqueda</t>
        </is>
      </c>
      <c r="F81" s="10" t="inlineStr">
        <is>
          <t>Mantenimiento</t>
        </is>
      </c>
      <c r="G81" s="12" t="inlineStr">
        <is>
          <t>Categorías/temas de Explorar</t>
        </is>
      </c>
      <c r="H81" s="13" t="inlineStr">
        <is>
          <t>Imprescindible</t>
        </is>
      </c>
      <c r="I81" s="10" t="inlineStr">
        <is>
          <t>MVP</t>
        </is>
      </c>
      <c r="J81" s="10" t="n">
        <v>5</v>
      </c>
      <c r="K81" s="12" t="inlineStr">
        <is>
          <t>Red social</t>
        </is>
      </c>
      <c r="L81" s="12" t="inlineStr">
        <is>
          <t>OB-09-001</t>
        </is>
      </c>
      <c r="M81" s="12" t="inlineStr"/>
      <c r="N81" s="12" t="inlineStr"/>
    </row>
    <row r="82">
      <c r="A82" s="10" t="n">
        <v>77</v>
      </c>
      <c r="B82" s="11">
        <f>IF(C82="Completo","☑",IF(C82="En progreso","◐","☐"))</f>
        <v/>
      </c>
      <c r="C82" s="10" t="inlineStr">
        <is>
          <t>Pendiente</t>
        </is>
      </c>
      <c r="D82" s="10" t="inlineStr">
        <is>
          <t>FED-F01</t>
        </is>
      </c>
      <c r="E82" s="12" t="inlineStr">
        <is>
          <t>05 · Feed, Explorar y Búsqueda</t>
        </is>
      </c>
      <c r="F82" s="10" t="inlineStr">
        <is>
          <t>Funcionalidad</t>
        </is>
      </c>
      <c r="G82" s="12" t="inlineStr">
        <is>
          <t>Feed de seguidos con paginación por cursor</t>
        </is>
      </c>
      <c r="H82" s="13" t="inlineStr">
        <is>
          <t>Imprescindible</t>
        </is>
      </c>
      <c r="I82" s="10" t="inlineStr">
        <is>
          <t>MVP</t>
        </is>
      </c>
      <c r="J82" s="10" t="n">
        <v>5</v>
      </c>
      <c r="K82" s="12" t="inlineStr">
        <is>
          <t>Red social</t>
        </is>
      </c>
      <c r="L82" s="12" t="inlineStr">
        <is>
          <t>§7</t>
        </is>
      </c>
      <c r="M82" s="12" t="inlineStr"/>
      <c r="N82" s="12" t="inlineStr"/>
    </row>
    <row r="83">
      <c r="A83" s="10" t="n">
        <v>78</v>
      </c>
      <c r="B83" s="11">
        <f>IF(C83="Completo","☑",IF(C83="En progreso","◐","☐"))</f>
        <v/>
      </c>
      <c r="C83" s="10" t="inlineStr">
        <is>
          <t>Pendiente</t>
        </is>
      </c>
      <c r="D83" s="10" t="inlineStr">
        <is>
          <t>FED-F02</t>
        </is>
      </c>
      <c r="E83" s="12" t="inlineStr">
        <is>
          <t>05 · Feed, Explorar y Búsqueda</t>
        </is>
      </c>
      <c r="F83" s="10" t="inlineStr">
        <is>
          <t>Funcionalidad</t>
        </is>
      </c>
      <c r="G83" s="12" t="inlineStr">
        <is>
          <t>Explorar (populares por categoría y zona)</t>
        </is>
      </c>
      <c r="H83" s="13" t="inlineStr">
        <is>
          <t>Imprescindible</t>
        </is>
      </c>
      <c r="I83" s="10" t="inlineStr">
        <is>
          <t>MVP</t>
        </is>
      </c>
      <c r="J83" s="10" t="n">
        <v>5</v>
      </c>
      <c r="K83" s="12" t="inlineStr">
        <is>
          <t>Red social</t>
        </is>
      </c>
      <c r="L83" s="12" t="inlineStr">
        <is>
          <t>§7</t>
        </is>
      </c>
      <c r="M83" s="12" t="inlineStr"/>
      <c r="N83" s="12" t="inlineStr"/>
    </row>
    <row r="84">
      <c r="A84" s="10" t="n">
        <v>79</v>
      </c>
      <c r="B84" s="11">
        <f>IF(C84="Completo","☑",IF(C84="En progreso","◐","☐"))</f>
        <v/>
      </c>
      <c r="C84" s="10" t="inlineStr">
        <is>
          <t>Pendiente</t>
        </is>
      </c>
      <c r="D84" s="10" t="inlineStr">
        <is>
          <t>FED-F03</t>
        </is>
      </c>
      <c r="E84" s="12" t="inlineStr">
        <is>
          <t>05 · Feed, Explorar y Búsqueda</t>
        </is>
      </c>
      <c r="F84" s="10" t="inlineStr">
        <is>
          <t>Funcionalidad</t>
        </is>
      </c>
      <c r="G84" s="12" t="inlineStr">
        <is>
          <t>Buscar perfiles, hashtags y publicaciones</t>
        </is>
      </c>
      <c r="H84" s="13" t="inlineStr">
        <is>
          <t>Imprescindible</t>
        </is>
      </c>
      <c r="I84" s="10" t="inlineStr">
        <is>
          <t>MVP</t>
        </is>
      </c>
      <c r="J84" s="10" t="n">
        <v>5</v>
      </c>
      <c r="K84" s="12" t="inlineStr">
        <is>
          <t>Red social</t>
        </is>
      </c>
      <c r="L84" s="12" t="inlineStr">
        <is>
          <t>OB-09-001</t>
        </is>
      </c>
      <c r="M84" s="12" t="inlineStr"/>
      <c r="N84" s="12" t="inlineStr"/>
    </row>
    <row r="85">
      <c r="A85" s="10" t="n">
        <v>80</v>
      </c>
      <c r="B85" s="11">
        <f>IF(C85="Completo","☑",IF(C85="En progreso","◐","☐"))</f>
        <v/>
      </c>
      <c r="C85" s="10" t="inlineStr">
        <is>
          <t>Pendiente</t>
        </is>
      </c>
      <c r="D85" s="10" t="inlineStr">
        <is>
          <t>NTF-M01</t>
        </is>
      </c>
      <c r="E85" s="12" t="inlineStr">
        <is>
          <t>07 · Notificaciones</t>
        </is>
      </c>
      <c r="F85" s="10" t="inlineStr">
        <is>
          <t>Mantenimiento</t>
        </is>
      </c>
      <c r="G85" s="12" t="inlineStr">
        <is>
          <t>Plantillas por canal e idioma</t>
        </is>
      </c>
      <c r="H85" s="13" t="inlineStr">
        <is>
          <t>Imprescindible</t>
        </is>
      </c>
      <c r="I85" s="10" t="inlineStr">
        <is>
          <t>MVP</t>
        </is>
      </c>
      <c r="J85" s="10" t="n">
        <v>5</v>
      </c>
      <c r="K85" s="12" t="inlineStr">
        <is>
          <t>Red social</t>
        </is>
      </c>
      <c r="L85" s="12" t="inlineStr">
        <is>
          <t>OB-21</t>
        </is>
      </c>
      <c r="M85" s="12" t="inlineStr"/>
      <c r="N85" s="12" t="inlineStr"/>
    </row>
    <row r="86">
      <c r="A86" s="10" t="n">
        <v>81</v>
      </c>
      <c r="B86" s="11">
        <f>IF(C86="Completo","☑",IF(C86="En progreso","◐","☐"))</f>
        <v/>
      </c>
      <c r="C86" s="10" t="inlineStr">
        <is>
          <t>Pendiente</t>
        </is>
      </c>
      <c r="D86" s="10" t="inlineStr">
        <is>
          <t>NTF-M02</t>
        </is>
      </c>
      <c r="E86" s="12" t="inlineStr">
        <is>
          <t>07 · Notificaciones</t>
        </is>
      </c>
      <c r="F86" s="10" t="inlineStr">
        <is>
          <t>Mantenimiento</t>
        </is>
      </c>
      <c r="G86" s="12" t="inlineStr">
        <is>
          <t>Preferencias de notificación por usuario</t>
        </is>
      </c>
      <c r="H86" s="13" t="inlineStr">
        <is>
          <t>Imprescindible</t>
        </is>
      </c>
      <c r="I86" s="10" t="inlineStr">
        <is>
          <t>MVP</t>
        </is>
      </c>
      <c r="J86" s="10" t="n">
        <v>5</v>
      </c>
      <c r="K86" s="12" t="inlineStr">
        <is>
          <t>Red social</t>
        </is>
      </c>
      <c r="L86" s="12" t="inlineStr">
        <is>
          <t>OB-21</t>
        </is>
      </c>
      <c r="M86" s="12" t="inlineStr"/>
      <c r="N86" s="12" t="inlineStr"/>
    </row>
    <row r="87">
      <c r="A87" s="10" t="n">
        <v>82</v>
      </c>
      <c r="B87" s="11">
        <f>IF(C87="Completo","☑",IF(C87="En progreso","◐","☐"))</f>
        <v/>
      </c>
      <c r="C87" s="10" t="inlineStr">
        <is>
          <t>Pendiente</t>
        </is>
      </c>
      <c r="D87" s="10" t="inlineStr">
        <is>
          <t>NTF-M03</t>
        </is>
      </c>
      <c r="E87" s="12" t="inlineStr">
        <is>
          <t>07 · Notificaciones</t>
        </is>
      </c>
      <c r="F87" s="10" t="inlineStr">
        <is>
          <t>Mantenimiento</t>
        </is>
      </c>
      <c r="G87" s="12" t="inlineStr">
        <is>
          <t>Proveedores email/SMS/push por entorno</t>
        </is>
      </c>
      <c r="H87" s="13" t="inlineStr">
        <is>
          <t>Imprescindible</t>
        </is>
      </c>
      <c r="I87" s="10" t="inlineStr">
        <is>
          <t>MVP</t>
        </is>
      </c>
      <c r="J87" s="10" t="n">
        <v>5</v>
      </c>
      <c r="K87" s="12" t="inlineStr">
        <is>
          <t>Red social</t>
        </is>
      </c>
      <c r="L87" s="12" t="inlineStr">
        <is>
          <t>§14.2</t>
        </is>
      </c>
      <c r="M87" s="12" t="inlineStr"/>
      <c r="N87" s="12" t="inlineStr"/>
    </row>
    <row r="88">
      <c r="A88" s="10" t="n">
        <v>83</v>
      </c>
      <c r="B88" s="11">
        <f>IF(C88="Completo","☑",IF(C88="En progreso","◐","☐"))</f>
        <v/>
      </c>
      <c r="C88" s="10" t="inlineStr">
        <is>
          <t>Pendiente</t>
        </is>
      </c>
      <c r="D88" s="10" t="inlineStr">
        <is>
          <t>NTF-F01</t>
        </is>
      </c>
      <c r="E88" s="12" t="inlineStr">
        <is>
          <t>07 · Notificaciones</t>
        </is>
      </c>
      <c r="F88" s="10" t="inlineStr">
        <is>
          <t>Funcionalidad</t>
        </is>
      </c>
      <c r="G88" s="12" t="inlineStr">
        <is>
          <t>Motor evento → plantilla → canal (idempotente, deep link)</t>
        </is>
      </c>
      <c r="H88" s="13" t="inlineStr">
        <is>
          <t>Imprescindible</t>
        </is>
      </c>
      <c r="I88" s="10" t="inlineStr">
        <is>
          <t>MVP</t>
        </is>
      </c>
      <c r="J88" s="10" t="n">
        <v>5</v>
      </c>
      <c r="K88" s="12" t="inlineStr">
        <is>
          <t>Red social</t>
        </is>
      </c>
      <c r="L88" s="12" t="inlineStr">
        <is>
          <t>OB-21</t>
        </is>
      </c>
      <c r="M88" s="12" t="inlineStr"/>
      <c r="N88" s="12" t="inlineStr"/>
    </row>
    <row r="89">
      <c r="A89" s="10" t="n">
        <v>84</v>
      </c>
      <c r="B89" s="11">
        <f>IF(C89="Completo","☑",IF(C89="En progreso","◐","☐"))</f>
        <v/>
      </c>
      <c r="C89" s="10" t="inlineStr">
        <is>
          <t>Pendiente</t>
        </is>
      </c>
      <c r="D89" s="10" t="inlineStr">
        <is>
          <t>NTF-F02</t>
        </is>
      </c>
      <c r="E89" s="12" t="inlineStr">
        <is>
          <t>07 · Notificaciones</t>
        </is>
      </c>
      <c r="F89" s="10" t="inlineStr">
        <is>
          <t>Funcionalidad</t>
        </is>
      </c>
      <c r="G89" s="12" t="inlineStr">
        <is>
          <t>Bandeja in-app</t>
        </is>
      </c>
      <c r="H89" s="13" t="inlineStr">
        <is>
          <t>Imprescindible</t>
        </is>
      </c>
      <c r="I89" s="10" t="inlineStr">
        <is>
          <t>MVP</t>
        </is>
      </c>
      <c r="J89" s="10" t="n">
        <v>5</v>
      </c>
      <c r="K89" s="12" t="inlineStr">
        <is>
          <t>Red social</t>
        </is>
      </c>
      <c r="L89" s="12" t="inlineStr">
        <is>
          <t>§15.1</t>
        </is>
      </c>
      <c r="M89" s="12" t="inlineStr"/>
      <c r="N89" s="12" t="inlineStr"/>
    </row>
    <row r="90">
      <c r="A90" s="10" t="n">
        <v>85</v>
      </c>
      <c r="B90" s="11">
        <f>IF(C90="Completo","☑",IF(C90="En progreso","◐","☐"))</f>
        <v/>
      </c>
      <c r="C90" s="10" t="inlineStr">
        <is>
          <t>Pendiente</t>
        </is>
      </c>
      <c r="D90" s="10" t="inlineStr">
        <is>
          <t>NTF-F03</t>
        </is>
      </c>
      <c r="E90" s="12" t="inlineStr">
        <is>
          <t>07 · Notificaciones</t>
        </is>
      </c>
      <c r="F90" s="10" t="inlineStr">
        <is>
          <t>Funcionalidad</t>
        </is>
      </c>
      <c r="G90" s="12" t="inlineStr">
        <is>
          <t>Avisos sociales (seguidor, like, comentario, mención)</t>
        </is>
      </c>
      <c r="H90" s="13" t="inlineStr">
        <is>
          <t>Imprescindible</t>
        </is>
      </c>
      <c r="I90" s="10" t="inlineStr">
        <is>
          <t>MVP</t>
        </is>
      </c>
      <c r="J90" s="10" t="n">
        <v>5</v>
      </c>
      <c r="K90" s="12" t="inlineStr">
        <is>
          <t>Red social</t>
        </is>
      </c>
      <c r="L90" s="12" t="inlineStr">
        <is>
          <t>OB-10</t>
        </is>
      </c>
      <c r="M90" s="12" t="inlineStr"/>
      <c r="N90" s="12" t="inlineStr"/>
    </row>
    <row r="91">
      <c r="A91" s="10" t="n">
        <v>86</v>
      </c>
      <c r="B91" s="11">
        <f>IF(C91="Completo","☑",IF(C91="En progreso","◐","☐"))</f>
        <v/>
      </c>
      <c r="C91" s="10" t="inlineStr">
        <is>
          <t>Pendiente</t>
        </is>
      </c>
      <c r="D91" s="10" t="inlineStr">
        <is>
          <t>TRS-M01</t>
        </is>
      </c>
      <c r="E91" s="12" t="inlineStr">
        <is>
          <t>09 · Confianza y Seguridad</t>
        </is>
      </c>
      <c r="F91" s="10" t="inlineStr">
        <is>
          <t>Mantenimiento</t>
        </is>
      </c>
      <c r="G91" s="12" t="inlineStr">
        <is>
          <t>Motivos de reporte</t>
        </is>
      </c>
      <c r="H91" s="13" t="inlineStr">
        <is>
          <t>Imprescindible</t>
        </is>
      </c>
      <c r="I91" s="10" t="inlineStr">
        <is>
          <t>MVP</t>
        </is>
      </c>
      <c r="J91" s="10" t="n">
        <v>5</v>
      </c>
      <c r="K91" s="12" t="inlineStr">
        <is>
          <t>Soporte de la red</t>
        </is>
      </c>
      <c r="L91" s="12" t="inlineStr">
        <is>
          <t>OB-43-001</t>
        </is>
      </c>
      <c r="M91" s="12" t="inlineStr"/>
      <c r="N91" s="12" t="inlineStr"/>
    </row>
    <row r="92">
      <c r="A92" s="10" t="n">
        <v>87</v>
      </c>
      <c r="B92" s="11">
        <f>IF(C92="Completo","☑",IF(C92="En progreso","◐","☐"))</f>
        <v/>
      </c>
      <c r="C92" s="10" t="inlineStr">
        <is>
          <t>Pendiente</t>
        </is>
      </c>
      <c r="D92" s="10" t="inlineStr">
        <is>
          <t>TRS-M02</t>
        </is>
      </c>
      <c r="E92" s="12" t="inlineStr">
        <is>
          <t>09 · Confianza y Seguridad</t>
        </is>
      </c>
      <c r="F92" s="10" t="inlineStr">
        <is>
          <t>Mantenimiento</t>
        </is>
      </c>
      <c r="G92" s="12" t="inlineStr">
        <is>
          <t>Términos prohibidos y filtros automáticos</t>
        </is>
      </c>
      <c r="H92" s="13" t="inlineStr">
        <is>
          <t>Imprescindible</t>
        </is>
      </c>
      <c r="I92" s="10" t="inlineStr">
        <is>
          <t>MVP</t>
        </is>
      </c>
      <c r="J92" s="10" t="n">
        <v>5</v>
      </c>
      <c r="K92" s="12" t="inlineStr">
        <is>
          <t>Soporte de la red</t>
        </is>
      </c>
      <c r="L92" s="12" t="inlineStr">
        <is>
          <t>OB-22-003</t>
        </is>
      </c>
      <c r="M92" s="12" t="inlineStr"/>
      <c r="N92" s="12" t="inlineStr"/>
    </row>
    <row r="93">
      <c r="A93" s="10" t="n">
        <v>88</v>
      </c>
      <c r="B93" s="11">
        <f>IF(C93="Completo","☑",IF(C93="En progreso","◐","☐"))</f>
        <v/>
      </c>
      <c r="C93" s="10" t="inlineStr">
        <is>
          <t>Pendiente</t>
        </is>
      </c>
      <c r="D93" s="10" t="inlineStr">
        <is>
          <t>TRS-F01</t>
        </is>
      </c>
      <c r="E93" s="12" t="inlineStr">
        <is>
          <t>09 · Confianza y Seguridad</t>
        </is>
      </c>
      <c r="F93" s="10" t="inlineStr">
        <is>
          <t>Funcionalidad</t>
        </is>
      </c>
      <c r="G93" s="12" t="inlineStr">
        <is>
          <t>Reportar publicación, comentario, perfil o mensaje</t>
        </is>
      </c>
      <c r="H93" s="13" t="inlineStr">
        <is>
          <t>Imprescindible</t>
        </is>
      </c>
      <c r="I93" s="10" t="inlineStr">
        <is>
          <t>MVP</t>
        </is>
      </c>
      <c r="J93" s="10" t="n">
        <v>5</v>
      </c>
      <c r="K93" s="12" t="inlineStr">
        <is>
          <t>Soporte de la red</t>
        </is>
      </c>
      <c r="L93" s="12" t="inlineStr">
        <is>
          <t>OB-43-001</t>
        </is>
      </c>
      <c r="M93" s="12" t="inlineStr"/>
      <c r="N93" s="12" t="inlineStr"/>
    </row>
    <row r="94">
      <c r="A94" s="10" t="n">
        <v>89</v>
      </c>
      <c r="B94" s="11">
        <f>IF(C94="Completo","☑",IF(C94="En progreso","◐","☐"))</f>
        <v/>
      </c>
      <c r="C94" s="10" t="inlineStr">
        <is>
          <t>Pendiente</t>
        </is>
      </c>
      <c r="D94" s="10" t="inlineStr">
        <is>
          <t>TRS-F02</t>
        </is>
      </c>
      <c r="E94" s="12" t="inlineStr">
        <is>
          <t>09 · Confianza y Seguridad</t>
        </is>
      </c>
      <c r="F94" s="10" t="inlineStr">
        <is>
          <t>Funcionalidad</t>
        </is>
      </c>
      <c r="G94" s="12" t="inlineStr">
        <is>
          <t>Cola de moderación</t>
        </is>
      </c>
      <c r="H94" s="13" t="inlineStr">
        <is>
          <t>Imprescindible</t>
        </is>
      </c>
      <c r="I94" s="10" t="inlineStr">
        <is>
          <t>MVP</t>
        </is>
      </c>
      <c r="J94" s="10" t="n">
        <v>5</v>
      </c>
      <c r="K94" s="12" t="inlineStr">
        <is>
          <t>Soporte de la red</t>
        </is>
      </c>
      <c r="L94" s="12" t="inlineStr">
        <is>
          <t>OB-43-002</t>
        </is>
      </c>
      <c r="M94" s="12" t="inlineStr"/>
      <c r="N94" s="12" t="inlineStr"/>
    </row>
    <row r="95">
      <c r="A95" s="10" t="n">
        <v>90</v>
      </c>
      <c r="B95" s="11">
        <f>IF(C95="Completo","☑",IF(C95="En progreso","◐","☐"))</f>
        <v/>
      </c>
      <c r="C95" s="10" t="inlineStr">
        <is>
          <t>Pendiente</t>
        </is>
      </c>
      <c r="D95" s="10" t="inlineStr">
        <is>
          <t>TRS-F03</t>
        </is>
      </c>
      <c r="E95" s="12" t="inlineStr">
        <is>
          <t>09 · Confianza y Seguridad</t>
        </is>
      </c>
      <c r="F95" s="10" t="inlineStr">
        <is>
          <t>Funcionalidad</t>
        </is>
      </c>
      <c r="G95" s="12" t="inlineStr">
        <is>
          <t>Ocultar/eliminar contenido</t>
        </is>
      </c>
      <c r="H95" s="13" t="inlineStr">
        <is>
          <t>Imprescindible</t>
        </is>
      </c>
      <c r="I95" s="10" t="inlineStr">
        <is>
          <t>MVP</t>
        </is>
      </c>
      <c r="J95" s="10" t="n">
        <v>5</v>
      </c>
      <c r="K95" s="12" t="inlineStr">
        <is>
          <t>Soporte de la red</t>
        </is>
      </c>
      <c r="L95" s="12" t="inlineStr">
        <is>
          <t>OB-43-003</t>
        </is>
      </c>
      <c r="M95" s="12" t="inlineStr"/>
      <c r="N95" s="12" t="inlineStr"/>
    </row>
    <row r="96">
      <c r="A96" s="10" t="n">
        <v>91</v>
      </c>
      <c r="B96" s="11">
        <f>IF(C96="Completo","☑",IF(C96="En progreso","◐","☐"))</f>
        <v/>
      </c>
      <c r="C96" s="10" t="inlineStr">
        <is>
          <t>Pendiente</t>
        </is>
      </c>
      <c r="D96" s="10" t="inlineStr">
        <is>
          <t>TRS-F04</t>
        </is>
      </c>
      <c r="E96" s="12" t="inlineStr">
        <is>
          <t>09 · Confianza y Seguridad</t>
        </is>
      </c>
      <c r="F96" s="10" t="inlineStr">
        <is>
          <t>Funcionalidad</t>
        </is>
      </c>
      <c r="G96" s="12" t="inlineStr">
        <is>
          <t>Advertir/suspender cuenta</t>
        </is>
      </c>
      <c r="H96" s="13" t="inlineStr">
        <is>
          <t>Imprescindible</t>
        </is>
      </c>
      <c r="I96" s="10" t="inlineStr">
        <is>
          <t>MVP</t>
        </is>
      </c>
      <c r="J96" s="10" t="n">
        <v>5</v>
      </c>
      <c r="K96" s="12" t="inlineStr">
        <is>
          <t>Soporte de la red</t>
        </is>
      </c>
      <c r="L96" s="12" t="inlineStr">
        <is>
          <t>OB-43-004</t>
        </is>
      </c>
      <c r="M96" s="12" t="inlineStr"/>
      <c r="N96" s="12" t="inlineStr"/>
    </row>
    <row r="97">
      <c r="A97" s="10" t="n">
        <v>92</v>
      </c>
      <c r="B97" s="11">
        <f>IF(C97="Completo","☑",IF(C97="En progreso","◐","☐"))</f>
        <v/>
      </c>
      <c r="C97" s="10" t="inlineStr">
        <is>
          <t>Pendiente</t>
        </is>
      </c>
      <c r="D97" s="10" t="inlineStr">
        <is>
          <t>TRS-F05</t>
        </is>
      </c>
      <c r="E97" s="12" t="inlineStr">
        <is>
          <t>09 · Confianza y Seguridad</t>
        </is>
      </c>
      <c r="F97" s="10" t="inlineStr">
        <is>
          <t>Funcionalidad</t>
        </is>
      </c>
      <c r="G97" s="12" t="inlineStr">
        <is>
          <t>Filtro automático de texto</t>
        </is>
      </c>
      <c r="H97" s="13" t="inlineStr">
        <is>
          <t>Imprescindible</t>
        </is>
      </c>
      <c r="I97" s="10" t="inlineStr">
        <is>
          <t>MVP</t>
        </is>
      </c>
      <c r="J97" s="10" t="n">
        <v>5</v>
      </c>
      <c r="K97" s="12" t="inlineStr">
        <is>
          <t>Soporte de la red</t>
        </is>
      </c>
      <c r="L97" s="12" t="inlineStr">
        <is>
          <t>OB-22-003</t>
        </is>
      </c>
      <c r="M97" s="12" t="inlineStr"/>
      <c r="N97" s="12" t="inlineStr"/>
    </row>
    <row r="98">
      <c r="A98" s="10" t="n">
        <v>93</v>
      </c>
      <c r="B98" s="11">
        <f>IF(C98="Completo","☑",IF(C98="En progreso","◐","☐"))</f>
        <v/>
      </c>
      <c r="C98" s="10" t="inlineStr">
        <is>
          <t>Pendiente</t>
        </is>
      </c>
      <c r="D98" s="10" t="inlineStr">
        <is>
          <t>LEG-F01</t>
        </is>
      </c>
      <c r="E98" s="12" t="inlineStr">
        <is>
          <t>LEG · Cumplimiento Legal y Fiscal</t>
        </is>
      </c>
      <c r="F98" s="10" t="inlineStr">
        <is>
          <t>Funcionalidad</t>
        </is>
      </c>
      <c r="G98" s="12" t="inlineStr">
        <is>
          <t>Políticas de contenido y derechos de autor (retiro de contenido)</t>
        </is>
      </c>
      <c r="H98" s="13" t="inlineStr">
        <is>
          <t>Imprescindible</t>
        </is>
      </c>
      <c r="I98" s="10" t="inlineStr">
        <is>
          <t>MVP</t>
        </is>
      </c>
      <c r="J98" s="10" t="n">
        <v>5</v>
      </c>
      <c r="K98" s="12" t="inlineStr">
        <is>
          <t>Áreas transversales</t>
        </is>
      </c>
      <c r="L98" s="12" t="inlineStr">
        <is>
          <t>§20</t>
        </is>
      </c>
      <c r="M98" s="12" t="inlineStr"/>
      <c r="N98" s="12" t="inlineStr"/>
    </row>
    <row r="99">
      <c r="A99" s="6" t="n">
        <v>94</v>
      </c>
      <c r="B99" s="7">
        <f>IF(C99="Completo","☑",IF(C99="En progreso","◐","☐"))</f>
        <v/>
      </c>
      <c r="C99" s="6" t="inlineStr">
        <is>
          <t>Pendiente</t>
        </is>
      </c>
      <c r="D99" s="6" t="inlineStr">
        <is>
          <t>PRF-F04</t>
        </is>
      </c>
      <c r="E99" s="8" t="inlineStr">
        <is>
          <t>02 · Perfiles</t>
        </is>
      </c>
      <c r="F99" s="6" t="inlineStr">
        <is>
          <t>Funcionalidad</t>
        </is>
      </c>
      <c r="G99" s="8" t="inlineStr">
        <is>
          <t>Perfil profesional: especialidades, zona aproximada, métricas</t>
        </is>
      </c>
      <c r="H99" s="9" t="inlineStr">
        <is>
          <t>Imprescindible</t>
        </is>
      </c>
      <c r="I99" s="6" t="inlineStr">
        <is>
          <t>MVP</t>
        </is>
      </c>
      <c r="J99" s="6" t="n">
        <v>6</v>
      </c>
      <c r="K99" s="8" t="inlineStr">
        <is>
          <t>Red social</t>
        </is>
      </c>
      <c r="L99" s="8" t="inlineStr">
        <is>
          <t>OB-07-001</t>
        </is>
      </c>
      <c r="M99" s="8" t="inlineStr"/>
      <c r="N99" s="8" t="inlineStr"/>
    </row>
    <row r="100">
      <c r="A100" s="6" t="n">
        <v>95</v>
      </c>
      <c r="B100" s="7">
        <f>IF(C100="Completo","☑",IF(C100="En progreso","◐","☐"))</f>
        <v/>
      </c>
      <c r="C100" s="6" t="inlineStr">
        <is>
          <t>Pendiente</t>
        </is>
      </c>
      <c r="D100" s="6" t="inlineStr">
        <is>
          <t>PRF-F05</t>
        </is>
      </c>
      <c r="E100" s="8" t="inlineStr">
        <is>
          <t>02 · Perfiles</t>
        </is>
      </c>
      <c r="F100" s="6" t="inlineStr">
        <is>
          <t>Funcionalidad</t>
        </is>
      </c>
      <c r="G100" s="8" t="inlineStr">
        <is>
          <t>Portafolio por categorías</t>
        </is>
      </c>
      <c r="H100" s="9" t="inlineStr">
        <is>
          <t>Imprescindible</t>
        </is>
      </c>
      <c r="I100" s="6" t="inlineStr">
        <is>
          <t>MVP</t>
        </is>
      </c>
      <c r="J100" s="6" t="n">
        <v>6</v>
      </c>
      <c r="K100" s="8" t="inlineStr">
        <is>
          <t>Red social</t>
        </is>
      </c>
      <c r="L100" s="8" t="inlineStr">
        <is>
          <t>OB-07-002</t>
        </is>
      </c>
      <c r="M100" s="8" t="inlineStr"/>
      <c r="N100" s="8" t="inlineStr"/>
    </row>
    <row r="101">
      <c r="A101" s="6" t="n">
        <v>96</v>
      </c>
      <c r="B101" s="7">
        <f>IF(C101="Completo","☑",IF(C101="En progreso","◐","☐"))</f>
        <v/>
      </c>
      <c r="C101" s="6" t="inlineStr">
        <is>
          <t>Pendiente</t>
        </is>
      </c>
      <c r="D101" s="6" t="inlineStr">
        <is>
          <t>VER-M01</t>
        </is>
      </c>
      <c r="E101" s="8" t="inlineStr">
        <is>
          <t>10 · Profesionales y Verificación</t>
        </is>
      </c>
      <c r="F101" s="6" t="inlineStr">
        <is>
          <t>Mantenimiento</t>
        </is>
      </c>
      <c r="G101" s="8" t="inlineStr">
        <is>
          <t>Especialidades</t>
        </is>
      </c>
      <c r="H101" s="9" t="inlineStr">
        <is>
          <t>Imprescindible</t>
        </is>
      </c>
      <c r="I101" s="6" t="inlineStr">
        <is>
          <t>MVP</t>
        </is>
      </c>
      <c r="J101" s="6" t="n">
        <v>6</v>
      </c>
      <c r="K101" s="8" t="inlineStr">
        <is>
          <t>Marketplace</t>
        </is>
      </c>
      <c r="L101" s="8" t="inlineStr">
        <is>
          <t>OB-05-001</t>
        </is>
      </c>
      <c r="M101" s="8" t="inlineStr"/>
      <c r="N101" s="8" t="inlineStr"/>
    </row>
    <row r="102">
      <c r="A102" s="6" t="n">
        <v>97</v>
      </c>
      <c r="B102" s="7">
        <f>IF(C102="Completo","☑",IF(C102="En progreso","◐","☐"))</f>
        <v/>
      </c>
      <c r="C102" s="6" t="inlineStr">
        <is>
          <t>Pendiente</t>
        </is>
      </c>
      <c r="D102" s="6" t="inlineStr">
        <is>
          <t>VER-M02</t>
        </is>
      </c>
      <c r="E102" s="8" t="inlineStr">
        <is>
          <t>10 · Profesionales y Verificación</t>
        </is>
      </c>
      <c r="F102" s="6" t="inlineStr">
        <is>
          <t>Mantenimiento</t>
        </is>
      </c>
      <c r="G102" s="8" t="inlineStr">
        <is>
          <t>Tipos de documento KYC</t>
        </is>
      </c>
      <c r="H102" s="9" t="inlineStr">
        <is>
          <t>Imprescindible</t>
        </is>
      </c>
      <c r="I102" s="6" t="inlineStr">
        <is>
          <t>MVP</t>
        </is>
      </c>
      <c r="J102" s="6" t="n">
        <v>6</v>
      </c>
      <c r="K102" s="8" t="inlineStr">
        <is>
          <t>Marketplace</t>
        </is>
      </c>
      <c r="L102" s="8" t="inlineStr">
        <is>
          <t>OB-05-002</t>
        </is>
      </c>
      <c r="M102" s="8" t="inlineStr"/>
      <c r="N102" s="8" t="inlineStr"/>
    </row>
    <row r="103">
      <c r="A103" s="6" t="n">
        <v>98</v>
      </c>
      <c r="B103" s="7">
        <f>IF(C103="Completo","☑",IF(C103="En progreso","◐","☐"))</f>
        <v/>
      </c>
      <c r="C103" s="6" t="inlineStr">
        <is>
          <t>Pendiente</t>
        </is>
      </c>
      <c r="D103" s="6" t="inlineStr">
        <is>
          <t>VER-M03</t>
        </is>
      </c>
      <c r="E103" s="8" t="inlineStr">
        <is>
          <t>10 · Profesionales y Verificación</t>
        </is>
      </c>
      <c r="F103" s="6" t="inlineStr">
        <is>
          <t>Mantenimiento</t>
        </is>
      </c>
      <c r="G103" s="8" t="inlineStr">
        <is>
          <t>Checklist de revisión KYC</t>
        </is>
      </c>
      <c r="H103" s="9" t="inlineStr">
        <is>
          <t>Imprescindible</t>
        </is>
      </c>
      <c r="I103" s="6" t="inlineStr">
        <is>
          <t>MVP</t>
        </is>
      </c>
      <c r="J103" s="6" t="n">
        <v>6</v>
      </c>
      <c r="K103" s="8" t="inlineStr">
        <is>
          <t>Marketplace</t>
        </is>
      </c>
      <c r="L103" s="8" t="inlineStr">
        <is>
          <t>OB-42-002</t>
        </is>
      </c>
      <c r="M103" s="8" t="inlineStr"/>
      <c r="N103" s="8" t="inlineStr"/>
    </row>
    <row r="104">
      <c r="A104" s="6" t="n">
        <v>99</v>
      </c>
      <c r="B104" s="7">
        <f>IF(C104="Completo","☑",IF(C104="En progreso","◐","☐"))</f>
        <v/>
      </c>
      <c r="C104" s="6" t="inlineStr">
        <is>
          <t>Pendiente</t>
        </is>
      </c>
      <c r="D104" s="6" t="inlineStr">
        <is>
          <t>VER-M04</t>
        </is>
      </c>
      <c r="E104" s="8" t="inlineStr">
        <is>
          <t>10 · Profesionales y Verificación</t>
        </is>
      </c>
      <c r="F104" s="6" t="inlineStr">
        <is>
          <t>Mantenimiento</t>
        </is>
      </c>
      <c r="G104" s="8" t="inlineStr">
        <is>
          <t>Motivos de rechazo / solicitud de información</t>
        </is>
      </c>
      <c r="H104" s="9" t="inlineStr">
        <is>
          <t>Imprescindible</t>
        </is>
      </c>
      <c r="I104" s="6" t="inlineStr">
        <is>
          <t>MVP</t>
        </is>
      </c>
      <c r="J104" s="6" t="n">
        <v>6</v>
      </c>
      <c r="K104" s="8" t="inlineStr">
        <is>
          <t>Marketplace</t>
        </is>
      </c>
      <c r="L104" s="8" t="inlineStr">
        <is>
          <t>OB-42-003</t>
        </is>
      </c>
      <c r="M104" s="8" t="inlineStr"/>
      <c r="N104" s="8" t="inlineStr"/>
    </row>
    <row r="105">
      <c r="A105" s="6" t="n">
        <v>100</v>
      </c>
      <c r="B105" s="7">
        <f>IF(C105="Completo","☑",IF(C105="En progreso","◐","☐"))</f>
        <v/>
      </c>
      <c r="C105" s="6" t="inlineStr">
        <is>
          <t>Pendiente</t>
        </is>
      </c>
      <c r="D105" s="6" t="inlineStr">
        <is>
          <t>VER-F01</t>
        </is>
      </c>
      <c r="E105" s="8" t="inlineStr">
        <is>
          <t>10 · Profesionales y Verificación</t>
        </is>
      </c>
      <c r="F105" s="6" t="inlineStr">
        <is>
          <t>Funcionalidad</t>
        </is>
      </c>
      <c r="G105" s="8" t="inlineStr">
        <is>
          <t>Solicitar cuenta profesional (borrador)</t>
        </is>
      </c>
      <c r="H105" s="9" t="inlineStr">
        <is>
          <t>Imprescindible</t>
        </is>
      </c>
      <c r="I105" s="6" t="inlineStr">
        <is>
          <t>MVP</t>
        </is>
      </c>
      <c r="J105" s="6" t="n">
        <v>6</v>
      </c>
      <c r="K105" s="8" t="inlineStr">
        <is>
          <t>Marketplace</t>
        </is>
      </c>
      <c r="L105" s="8" t="inlineStr">
        <is>
          <t>OB-05-001</t>
        </is>
      </c>
      <c r="M105" s="8" t="inlineStr"/>
      <c r="N105" s="8" t="inlineStr"/>
    </row>
    <row r="106">
      <c r="A106" s="6" t="n">
        <v>101</v>
      </c>
      <c r="B106" s="7">
        <f>IF(C106="Completo","☑",IF(C106="En progreso","◐","☐"))</f>
        <v/>
      </c>
      <c r="C106" s="6" t="inlineStr">
        <is>
          <t>Pendiente</t>
        </is>
      </c>
      <c r="D106" s="6" t="inlineStr">
        <is>
          <t>VER-F02</t>
        </is>
      </c>
      <c r="E106" s="8" t="inlineStr">
        <is>
          <t>10 · Profesionales y Verificación</t>
        </is>
      </c>
      <c r="F106" s="6" t="inlineStr">
        <is>
          <t>Funcionalidad</t>
        </is>
      </c>
      <c r="G106" s="8" t="inlineStr">
        <is>
          <t>Cargar documentos (validación, cifrado, versiones)</t>
        </is>
      </c>
      <c r="H106" s="9" t="inlineStr">
        <is>
          <t>Imprescindible</t>
        </is>
      </c>
      <c r="I106" s="6" t="inlineStr">
        <is>
          <t>MVP</t>
        </is>
      </c>
      <c r="J106" s="6" t="n">
        <v>6</v>
      </c>
      <c r="K106" s="8" t="inlineStr">
        <is>
          <t>Marketplace</t>
        </is>
      </c>
      <c r="L106" s="8" t="inlineStr">
        <is>
          <t>OB-05-002</t>
        </is>
      </c>
      <c r="M106" s="8" t="inlineStr"/>
      <c r="N106" s="8" t="inlineStr"/>
    </row>
    <row r="107">
      <c r="A107" s="6" t="n">
        <v>102</v>
      </c>
      <c r="B107" s="7">
        <f>IF(C107="Completo","☑",IF(C107="En progreso","◐","☐"))</f>
        <v/>
      </c>
      <c r="C107" s="6" t="inlineStr">
        <is>
          <t>Pendiente</t>
        </is>
      </c>
      <c r="D107" s="6" t="inlineStr">
        <is>
          <t>VER-F03</t>
        </is>
      </c>
      <c r="E107" s="8" t="inlineStr">
        <is>
          <t>10 · Profesionales y Verificación</t>
        </is>
      </c>
      <c r="F107" s="6" t="inlineStr">
        <is>
          <t>Funcionalidad</t>
        </is>
      </c>
      <c r="G107" s="8" t="inlineStr">
        <is>
          <t>Estados KYC (Draft → Verified/Rejected/Suspended)</t>
        </is>
      </c>
      <c r="H107" s="9" t="inlineStr">
        <is>
          <t>Imprescindible</t>
        </is>
      </c>
      <c r="I107" s="6" t="inlineStr">
        <is>
          <t>MVP</t>
        </is>
      </c>
      <c r="J107" s="6" t="n">
        <v>6</v>
      </c>
      <c r="K107" s="8" t="inlineStr">
        <is>
          <t>Marketplace</t>
        </is>
      </c>
      <c r="L107" s="8" t="inlineStr">
        <is>
          <t>OB-05-003</t>
        </is>
      </c>
      <c r="M107" s="8" t="inlineStr"/>
      <c r="N107" s="8" t="inlineStr"/>
    </row>
    <row r="108">
      <c r="A108" s="6" t="n">
        <v>103</v>
      </c>
      <c r="B108" s="7">
        <f>IF(C108="Completo","☑",IF(C108="En progreso","◐","☐"))</f>
        <v/>
      </c>
      <c r="C108" s="6" t="inlineStr">
        <is>
          <t>Pendiente</t>
        </is>
      </c>
      <c r="D108" s="6" t="inlineStr">
        <is>
          <t>VER-F04</t>
        </is>
      </c>
      <c r="E108" s="8" t="inlineStr">
        <is>
          <t>10 · Profesionales y Verificación</t>
        </is>
      </c>
      <c r="F108" s="6" t="inlineStr">
        <is>
          <t>Funcionalidad</t>
        </is>
      </c>
      <c r="G108" s="8" t="inlineStr">
        <is>
          <t>Responder solicitud de información</t>
        </is>
      </c>
      <c r="H108" s="9" t="inlineStr">
        <is>
          <t>Imprescindible</t>
        </is>
      </c>
      <c r="I108" s="6" t="inlineStr">
        <is>
          <t>MVP</t>
        </is>
      </c>
      <c r="J108" s="6" t="n">
        <v>6</v>
      </c>
      <c r="K108" s="8" t="inlineStr">
        <is>
          <t>Marketplace</t>
        </is>
      </c>
      <c r="L108" s="8" t="inlineStr">
        <is>
          <t>OB-05-004</t>
        </is>
      </c>
      <c r="M108" s="8" t="inlineStr"/>
      <c r="N108" s="8" t="inlineStr"/>
    </row>
    <row r="109">
      <c r="A109" s="6" t="n">
        <v>104</v>
      </c>
      <c r="B109" s="7">
        <f>IF(C109="Completo","☑",IF(C109="En progreso","◐","☐"))</f>
        <v/>
      </c>
      <c r="C109" s="6" t="inlineStr">
        <is>
          <t>Pendiente</t>
        </is>
      </c>
      <c r="D109" s="6" t="inlineStr">
        <is>
          <t>VER-F05</t>
        </is>
      </c>
      <c r="E109" s="8" t="inlineStr">
        <is>
          <t>10 · Profesionales y Verificación</t>
        </is>
      </c>
      <c r="F109" s="6" t="inlineStr">
        <is>
          <t>Funcionalidad</t>
        </is>
      </c>
      <c r="G109" s="8" t="inlineStr">
        <is>
          <t>Cola de verificaciones (filtros, SLA)</t>
        </is>
      </c>
      <c r="H109" s="9" t="inlineStr">
        <is>
          <t>Imprescindible</t>
        </is>
      </c>
      <c r="I109" s="6" t="inlineStr">
        <is>
          <t>MVP</t>
        </is>
      </c>
      <c r="J109" s="6" t="n">
        <v>6</v>
      </c>
      <c r="K109" s="8" t="inlineStr">
        <is>
          <t>Marketplace</t>
        </is>
      </c>
      <c r="L109" s="8" t="inlineStr">
        <is>
          <t>OB-42-001</t>
        </is>
      </c>
      <c r="M109" s="8" t="inlineStr"/>
      <c r="N109" s="8" t="inlineStr"/>
    </row>
    <row r="110">
      <c r="A110" s="6" t="n">
        <v>105</v>
      </c>
      <c r="B110" s="7">
        <f>IF(C110="Completo","☑",IF(C110="En progreso","◐","☐"))</f>
        <v/>
      </c>
      <c r="C110" s="6" t="inlineStr">
        <is>
          <t>Pendiente</t>
        </is>
      </c>
      <c r="D110" s="6" t="inlineStr">
        <is>
          <t>VER-F06</t>
        </is>
      </c>
      <c r="E110" s="8" t="inlineStr">
        <is>
          <t>10 · Profesionales y Verificación</t>
        </is>
      </c>
      <c r="F110" s="6" t="inlineStr">
        <is>
          <t>Funcionalidad</t>
        </is>
      </c>
      <c r="G110" s="8" t="inlineStr">
        <is>
          <t>Revisión con visor seguro y auditoría</t>
        </is>
      </c>
      <c r="H110" s="9" t="inlineStr">
        <is>
          <t>Imprescindible</t>
        </is>
      </c>
      <c r="I110" s="6" t="inlineStr">
        <is>
          <t>MVP</t>
        </is>
      </c>
      <c r="J110" s="6" t="n">
        <v>6</v>
      </c>
      <c r="K110" s="8" t="inlineStr">
        <is>
          <t>Marketplace</t>
        </is>
      </c>
      <c r="L110" s="8" t="inlineStr">
        <is>
          <t>OB-42-002</t>
        </is>
      </c>
      <c r="M110" s="8" t="inlineStr"/>
      <c r="N110" s="8" t="inlineStr"/>
    </row>
    <row r="111">
      <c r="A111" s="6" t="n">
        <v>106</v>
      </c>
      <c r="B111" s="7">
        <f>IF(C111="Completo","☑",IF(C111="En progreso","◐","☐"))</f>
        <v/>
      </c>
      <c r="C111" s="6" t="inlineStr">
        <is>
          <t>Pendiente</t>
        </is>
      </c>
      <c r="D111" s="6" t="inlineStr">
        <is>
          <t>VER-F07</t>
        </is>
      </c>
      <c r="E111" s="8" t="inlineStr">
        <is>
          <t>10 · Profesionales y Verificación</t>
        </is>
      </c>
      <c r="F111" s="6" t="inlineStr">
        <is>
          <t>Funcionalidad</t>
        </is>
      </c>
      <c r="G111" s="8" t="inlineStr">
        <is>
          <t>Aprobar / pedir información / rechazar / suspender</t>
        </is>
      </c>
      <c r="H111" s="9" t="inlineStr">
        <is>
          <t>Imprescindible</t>
        </is>
      </c>
      <c r="I111" s="6" t="inlineStr">
        <is>
          <t>MVP</t>
        </is>
      </c>
      <c r="J111" s="6" t="n">
        <v>6</v>
      </c>
      <c r="K111" s="8" t="inlineStr">
        <is>
          <t>Marketplace</t>
        </is>
      </c>
      <c r="L111" s="8" t="inlineStr">
        <is>
          <t>OB-42-003</t>
        </is>
      </c>
      <c r="M111" s="8" t="inlineStr"/>
      <c r="N111" s="8" t="inlineStr"/>
    </row>
    <row r="112">
      <c r="A112" s="6" t="n">
        <v>107</v>
      </c>
      <c r="B112" s="7">
        <f>IF(C112="Completo","☑",IF(C112="En progreso","◐","☐"))</f>
        <v/>
      </c>
      <c r="C112" s="6" t="inlineStr">
        <is>
          <t>Pendiente</t>
        </is>
      </c>
      <c r="D112" s="6" t="inlineStr">
        <is>
          <t>VER-F08</t>
        </is>
      </c>
      <c r="E112" s="8" t="inlineStr">
        <is>
          <t>10 · Profesionales y Verificación</t>
        </is>
      </c>
      <c r="F112" s="6" t="inlineStr">
        <is>
          <t>Funcionalidad</t>
        </is>
      </c>
      <c r="G112" s="8" t="inlineStr">
        <is>
          <t>Insignia de identidad verificada</t>
        </is>
      </c>
      <c r="H112" s="9" t="inlineStr">
        <is>
          <t>Imprescindible</t>
        </is>
      </c>
      <c r="I112" s="6" t="inlineStr">
        <is>
          <t>MVP</t>
        </is>
      </c>
      <c r="J112" s="6" t="n">
        <v>6</v>
      </c>
      <c r="K112" s="8" t="inlineStr">
        <is>
          <t>Marketplace</t>
        </is>
      </c>
      <c r="L112" s="8" t="inlineStr">
        <is>
          <t>OB-06-001</t>
        </is>
      </c>
      <c r="M112" s="8" t="inlineStr"/>
      <c r="N112" s="8" t="inlineStr"/>
    </row>
    <row r="113">
      <c r="A113" s="6" t="n">
        <v>108</v>
      </c>
      <c r="B113" s="7">
        <f>IF(C113="Completo","☑",IF(C113="En progreso","◐","☐"))</f>
        <v/>
      </c>
      <c r="C113" s="6" t="inlineStr">
        <is>
          <t>Pendiente</t>
        </is>
      </c>
      <c r="D113" s="6" t="inlineStr">
        <is>
          <t>LEG-F02</t>
        </is>
      </c>
      <c r="E113" s="8" t="inlineStr">
        <is>
          <t>LEG · Cumplimiento Legal y Fiscal</t>
        </is>
      </c>
      <c r="F113" s="6" t="inlineStr">
        <is>
          <t>Funcionalidad</t>
        </is>
      </c>
      <c r="G113" s="8" t="inlineStr">
        <is>
          <t>Revisión legal del KYC</t>
        </is>
      </c>
      <c r="H113" s="9" t="inlineStr">
        <is>
          <t>Imprescindible</t>
        </is>
      </c>
      <c r="I113" s="6" t="inlineStr">
        <is>
          <t>MVP</t>
        </is>
      </c>
      <c r="J113" s="6" t="n">
        <v>6</v>
      </c>
      <c r="K113" s="8" t="inlineStr">
        <is>
          <t>Áreas transversales</t>
        </is>
      </c>
      <c r="L113" s="8" t="inlineStr">
        <is>
          <t>§13.2</t>
        </is>
      </c>
      <c r="M113" s="8" t="inlineStr"/>
      <c r="N113" s="8" t="inlineStr"/>
    </row>
    <row r="114">
      <c r="A114" s="10" t="n">
        <v>109</v>
      </c>
      <c r="B114" s="11">
        <f>IF(C114="Completo","☑",IF(C114="En progreso","◐","☐"))</f>
        <v/>
      </c>
      <c r="C114" s="10" t="inlineStr">
        <is>
          <t>Pendiente</t>
        </is>
      </c>
      <c r="D114" s="10" t="inlineStr">
        <is>
          <t>CAT-M01</t>
        </is>
      </c>
      <c r="E114" s="12" t="inlineStr">
        <is>
          <t>11 · Catálogo de Servicios</t>
        </is>
      </c>
      <c r="F114" s="10" t="inlineStr">
        <is>
          <t>Mantenimiento</t>
        </is>
      </c>
      <c r="G114" s="12" t="inlineStr">
        <is>
          <t>Categorías de servicio</t>
        </is>
      </c>
      <c r="H114" s="13" t="inlineStr">
        <is>
          <t>Imprescindible</t>
        </is>
      </c>
      <c r="I114" s="10" t="inlineStr">
        <is>
          <t>MVP</t>
        </is>
      </c>
      <c r="J114" s="10" t="n">
        <v>7</v>
      </c>
      <c r="K114" s="12" t="inlineStr">
        <is>
          <t>Marketplace</t>
        </is>
      </c>
      <c r="L114" s="12" t="inlineStr">
        <is>
          <t>OB-08-001</t>
        </is>
      </c>
      <c r="M114" s="12" t="inlineStr"/>
      <c r="N114" s="12" t="inlineStr"/>
    </row>
    <row r="115">
      <c r="A115" s="10" t="n">
        <v>110</v>
      </c>
      <c r="B115" s="11">
        <f>IF(C115="Completo","☑",IF(C115="En progreso","◐","☐"))</f>
        <v/>
      </c>
      <c r="C115" s="10" t="inlineStr">
        <is>
          <t>Pendiente</t>
        </is>
      </c>
      <c r="D115" s="10" t="inlineStr">
        <is>
          <t>CAT-M02</t>
        </is>
      </c>
      <c r="E115" s="12" t="inlineStr">
        <is>
          <t>11 · Catálogo de Servicios</t>
        </is>
      </c>
      <c r="F115" s="10" t="inlineStr">
        <is>
          <t>Mantenimiento</t>
        </is>
      </c>
      <c r="G115" s="12" t="inlineStr">
        <is>
          <t>Políticas de cancelación/reprogramación</t>
        </is>
      </c>
      <c r="H115" s="13" t="inlineStr">
        <is>
          <t>Imprescindible</t>
        </is>
      </c>
      <c r="I115" s="10" t="inlineStr">
        <is>
          <t>MVP</t>
        </is>
      </c>
      <c r="J115" s="10" t="n">
        <v>7</v>
      </c>
      <c r="K115" s="12" t="inlineStr">
        <is>
          <t>Marketplace</t>
        </is>
      </c>
      <c r="L115" s="12" t="inlineStr">
        <is>
          <t>OB-12-008/009</t>
        </is>
      </c>
      <c r="M115" s="12" t="inlineStr"/>
      <c r="N115" s="12" t="inlineStr"/>
    </row>
    <row r="116">
      <c r="A116" s="10" t="n">
        <v>111</v>
      </c>
      <c r="B116" s="11">
        <f>IF(C116="Completo","☑",IF(C116="En progreso","◐","☐"))</f>
        <v/>
      </c>
      <c r="C116" s="10" t="inlineStr">
        <is>
          <t>Pendiente</t>
        </is>
      </c>
      <c r="D116" s="10" t="inlineStr">
        <is>
          <t>CAT-M03</t>
        </is>
      </c>
      <c r="E116" s="12" t="inlineStr">
        <is>
          <t>11 · Catálogo de Servicios</t>
        </is>
      </c>
      <c r="F116" s="10" t="inlineStr">
        <is>
          <t>Mantenimiento</t>
        </is>
      </c>
      <c r="G116" s="12" t="inlineStr">
        <is>
          <t>Políticas de depósito</t>
        </is>
      </c>
      <c r="H116" s="13" t="inlineStr">
        <is>
          <t>Imprescindible</t>
        </is>
      </c>
      <c r="I116" s="10" t="inlineStr">
        <is>
          <t>MVP</t>
        </is>
      </c>
      <c r="J116" s="10" t="n">
        <v>7</v>
      </c>
      <c r="K116" s="12" t="inlineStr">
        <is>
          <t>Marketplace</t>
        </is>
      </c>
      <c r="L116" s="12" t="inlineStr">
        <is>
          <t>OB-17-003</t>
        </is>
      </c>
      <c r="M116" s="12" t="inlineStr"/>
      <c r="N116" s="12" t="inlineStr"/>
    </row>
    <row r="117">
      <c r="A117" s="10" t="n">
        <v>112</v>
      </c>
      <c r="B117" s="11">
        <f>IF(C117="Completo","☑",IF(C117="En progreso","◐","☐"))</f>
        <v/>
      </c>
      <c r="C117" s="10" t="inlineStr">
        <is>
          <t>Pendiente</t>
        </is>
      </c>
      <c r="D117" s="10" t="inlineStr">
        <is>
          <t>CAT-M04</t>
        </is>
      </c>
      <c r="E117" s="12" t="inlineStr">
        <is>
          <t>11 · Catálogo de Servicios</t>
        </is>
      </c>
      <c r="F117" s="10" t="inlineStr">
        <is>
          <t>Mantenimiento</t>
        </is>
      </c>
      <c r="G117" s="12" t="inlineStr">
        <is>
          <t>Modalidades (salón, domicilio, ambos)</t>
        </is>
      </c>
      <c r="H117" s="13" t="inlineStr">
        <is>
          <t>Imprescindible</t>
        </is>
      </c>
      <c r="I117" s="10" t="inlineStr">
        <is>
          <t>MVP</t>
        </is>
      </c>
      <c r="J117" s="10" t="n">
        <v>7</v>
      </c>
      <c r="K117" s="12" t="inlineStr">
        <is>
          <t>Marketplace</t>
        </is>
      </c>
      <c r="L117" s="12" t="inlineStr">
        <is>
          <t>OB-08-004</t>
        </is>
      </c>
      <c r="M117" s="12" t="inlineStr"/>
      <c r="N117" s="12" t="inlineStr"/>
    </row>
    <row r="118">
      <c r="A118" s="10" t="n">
        <v>113</v>
      </c>
      <c r="B118" s="11">
        <f>IF(C118="Completo","☑",IF(C118="En progreso","◐","☐"))</f>
        <v/>
      </c>
      <c r="C118" s="10" t="inlineStr">
        <is>
          <t>Pendiente</t>
        </is>
      </c>
      <c r="D118" s="10" t="inlineStr">
        <is>
          <t>CAT-F01</t>
        </is>
      </c>
      <c r="E118" s="12" t="inlineStr">
        <is>
          <t>11 · Catálogo de Servicios</t>
        </is>
      </c>
      <c r="F118" s="10" t="inlineStr">
        <is>
          <t>Funcionalidad</t>
        </is>
      </c>
      <c r="G118" s="12" t="inlineStr">
        <is>
          <t>Crear servicio (borrador/activo/inactivo)</t>
        </is>
      </c>
      <c r="H118" s="13" t="inlineStr">
        <is>
          <t>Imprescindible</t>
        </is>
      </c>
      <c r="I118" s="10" t="inlineStr">
        <is>
          <t>MVP</t>
        </is>
      </c>
      <c r="J118" s="10" t="n">
        <v>7</v>
      </c>
      <c r="K118" s="12" t="inlineStr">
        <is>
          <t>Marketplace</t>
        </is>
      </c>
      <c r="L118" s="12" t="inlineStr">
        <is>
          <t>OB-08-001</t>
        </is>
      </c>
      <c r="M118" s="12" t="inlineStr"/>
      <c r="N118" s="12" t="inlineStr"/>
    </row>
    <row r="119">
      <c r="A119" s="10" t="n">
        <v>114</v>
      </c>
      <c r="B119" s="11">
        <f>IF(C119="Completo","☑",IF(C119="En progreso","◐","☐"))</f>
        <v/>
      </c>
      <c r="C119" s="10" t="inlineStr">
        <is>
          <t>Pendiente</t>
        </is>
      </c>
      <c r="D119" s="10" t="inlineStr">
        <is>
          <t>CAT-F02</t>
        </is>
      </c>
      <c r="E119" s="12" t="inlineStr">
        <is>
          <t>11 · Catálogo de Servicios</t>
        </is>
      </c>
      <c r="F119" s="10" t="inlineStr">
        <is>
          <t>Funcionalidad</t>
        </is>
      </c>
      <c r="G119" s="12" t="inlineStr">
        <is>
          <t>Modalidad y reglas de ubicación</t>
        </is>
      </c>
      <c r="H119" s="13" t="inlineStr">
        <is>
          <t>Imprescindible</t>
        </is>
      </c>
      <c r="I119" s="10" t="inlineStr">
        <is>
          <t>MVP</t>
        </is>
      </c>
      <c r="J119" s="10" t="n">
        <v>7</v>
      </c>
      <c r="K119" s="12" t="inlineStr">
        <is>
          <t>Marketplace</t>
        </is>
      </c>
      <c r="L119" s="12" t="inlineStr">
        <is>
          <t>OB-08-004</t>
        </is>
      </c>
      <c r="M119" s="12" t="inlineStr"/>
      <c r="N119" s="12" t="inlineStr"/>
    </row>
    <row r="120">
      <c r="A120" s="10" t="n">
        <v>115</v>
      </c>
      <c r="B120" s="11">
        <f>IF(C120="Completo","☑",IF(C120="En progreso","◐","☐"))</f>
        <v/>
      </c>
      <c r="C120" s="10" t="inlineStr">
        <is>
          <t>Pendiente</t>
        </is>
      </c>
      <c r="D120" s="10" t="inlineStr">
        <is>
          <t>CAT-F03</t>
        </is>
      </c>
      <c r="E120" s="12" t="inlineStr">
        <is>
          <t>11 · Catálogo de Servicios</t>
        </is>
      </c>
      <c r="F120" s="10" t="inlineStr">
        <is>
          <t>Funcionalidad</t>
        </is>
      </c>
      <c r="G120" s="12" t="inlineStr">
        <is>
          <t>Asignar políticas e impuestos</t>
        </is>
      </c>
      <c r="H120" s="13" t="inlineStr">
        <is>
          <t>Imprescindible</t>
        </is>
      </c>
      <c r="I120" s="10" t="inlineStr">
        <is>
          <t>MVP</t>
        </is>
      </c>
      <c r="J120" s="10" t="n">
        <v>7</v>
      </c>
      <c r="K120" s="12" t="inlineStr">
        <is>
          <t>Marketplace</t>
        </is>
      </c>
      <c r="L120" s="12" t="inlineStr">
        <is>
          <t>OB-08-001</t>
        </is>
      </c>
      <c r="M120" s="12" t="inlineStr"/>
      <c r="N120" s="12" t="inlineStr"/>
    </row>
    <row r="121">
      <c r="A121" s="10" t="n">
        <v>116</v>
      </c>
      <c r="B121" s="11">
        <f>IF(C121="Completo","☑",IF(C121="En progreso","◐","☐"))</f>
        <v/>
      </c>
      <c r="C121" s="10" t="inlineStr">
        <is>
          <t>Pendiente</t>
        </is>
      </c>
      <c r="D121" s="10" t="inlineStr">
        <is>
          <t>CAT-F04</t>
        </is>
      </c>
      <c r="E121" s="12" t="inlineStr">
        <is>
          <t>11 · Catálogo de Servicios</t>
        </is>
      </c>
      <c r="F121" s="10" t="inlineStr">
        <is>
          <t>Funcionalidad</t>
        </is>
      </c>
      <c r="G121" s="12" t="inlineStr">
        <is>
          <t>Publicar servicio</t>
        </is>
      </c>
      <c r="H121" s="13" t="inlineStr">
        <is>
          <t>Imprescindible</t>
        </is>
      </c>
      <c r="I121" s="10" t="inlineStr">
        <is>
          <t>MVP</t>
        </is>
      </c>
      <c r="J121" s="10" t="n">
        <v>7</v>
      </c>
      <c r="K121" s="12" t="inlineStr">
        <is>
          <t>Marketplace</t>
        </is>
      </c>
      <c r="L121" s="12" t="inlineStr">
        <is>
          <t>§14.3</t>
        </is>
      </c>
      <c r="M121" s="12" t="inlineStr"/>
      <c r="N121" s="12" t="inlineStr"/>
    </row>
    <row r="122">
      <c r="A122" s="10" t="n">
        <v>117</v>
      </c>
      <c r="B122" s="11">
        <f>IF(C122="Completo","☑",IF(C122="En progreso","◐","☐"))</f>
        <v/>
      </c>
      <c r="C122" s="10" t="inlineStr">
        <is>
          <t>Pendiente</t>
        </is>
      </c>
      <c r="D122" s="10" t="inlineStr">
        <is>
          <t>SCH-M01</t>
        </is>
      </c>
      <c r="E122" s="12" t="inlineStr">
        <is>
          <t>12 · Agenda y Disponibilidad</t>
        </is>
      </c>
      <c r="F122" s="10" t="inlineStr">
        <is>
          <t>Mantenimiento</t>
        </is>
      </c>
      <c r="G122" s="12" t="inlineStr">
        <is>
          <t>Horario laboral semanal</t>
        </is>
      </c>
      <c r="H122" s="13" t="inlineStr">
        <is>
          <t>Imprescindible</t>
        </is>
      </c>
      <c r="I122" s="10" t="inlineStr">
        <is>
          <t>MVP</t>
        </is>
      </c>
      <c r="J122" s="10" t="n">
        <v>7</v>
      </c>
      <c r="K122" s="12" t="inlineStr">
        <is>
          <t>Marketplace</t>
        </is>
      </c>
      <c r="L122" s="12" t="inlineStr">
        <is>
          <t>OB-11-001</t>
        </is>
      </c>
      <c r="M122" s="12" t="inlineStr"/>
      <c r="N122" s="12" t="inlineStr"/>
    </row>
    <row r="123">
      <c r="A123" s="10" t="n">
        <v>118</v>
      </c>
      <c r="B123" s="11">
        <f>IF(C123="Completo","☑",IF(C123="En progreso","◐","☐"))</f>
        <v/>
      </c>
      <c r="C123" s="10" t="inlineStr">
        <is>
          <t>Pendiente</t>
        </is>
      </c>
      <c r="D123" s="10" t="inlineStr">
        <is>
          <t>SCH-M02</t>
        </is>
      </c>
      <c r="E123" s="12" t="inlineStr">
        <is>
          <t>12 · Agenda y Disponibilidad</t>
        </is>
      </c>
      <c r="F123" s="10" t="inlineStr">
        <is>
          <t>Mantenimiento</t>
        </is>
      </c>
      <c r="G123" s="12" t="inlineStr">
        <is>
          <t>Días libres</t>
        </is>
      </c>
      <c r="H123" s="13" t="inlineStr">
        <is>
          <t>Imprescindible</t>
        </is>
      </c>
      <c r="I123" s="10" t="inlineStr">
        <is>
          <t>MVP</t>
        </is>
      </c>
      <c r="J123" s="10" t="n">
        <v>7</v>
      </c>
      <c r="K123" s="12" t="inlineStr">
        <is>
          <t>Marketplace</t>
        </is>
      </c>
      <c r="L123" s="12" t="inlineStr">
        <is>
          <t>OB-11-002</t>
        </is>
      </c>
      <c r="M123" s="12" t="inlineStr"/>
      <c r="N123" s="12" t="inlineStr"/>
    </row>
    <row r="124">
      <c r="A124" s="10" t="n">
        <v>119</v>
      </c>
      <c r="B124" s="11">
        <f>IF(C124="Completo","☑",IF(C124="En progreso","◐","☐"))</f>
        <v/>
      </c>
      <c r="C124" s="10" t="inlineStr">
        <is>
          <t>Pendiente</t>
        </is>
      </c>
      <c r="D124" s="10" t="inlineStr">
        <is>
          <t>SCH-M03</t>
        </is>
      </c>
      <c r="E124" s="12" t="inlineStr">
        <is>
          <t>12 · Agenda y Disponibilidad</t>
        </is>
      </c>
      <c r="F124" s="10" t="inlineStr">
        <is>
          <t>Mantenimiento</t>
        </is>
      </c>
      <c r="G124" s="12" t="inlineStr">
        <is>
          <t>Vacaciones</t>
        </is>
      </c>
      <c r="H124" s="13" t="inlineStr">
        <is>
          <t>Imprescindible</t>
        </is>
      </c>
      <c r="I124" s="10" t="inlineStr">
        <is>
          <t>MVP</t>
        </is>
      </c>
      <c r="J124" s="10" t="n">
        <v>7</v>
      </c>
      <c r="K124" s="12" t="inlineStr">
        <is>
          <t>Marketplace</t>
        </is>
      </c>
      <c r="L124" s="12" t="inlineStr">
        <is>
          <t>OB-11-003</t>
        </is>
      </c>
      <c r="M124" s="12" t="inlineStr"/>
      <c r="N124" s="12" t="inlineStr"/>
    </row>
    <row r="125">
      <c r="A125" s="10" t="n">
        <v>120</v>
      </c>
      <c r="B125" s="11">
        <f>IF(C125="Completo","☑",IF(C125="En progreso","◐","☐"))</f>
        <v/>
      </c>
      <c r="C125" s="10" t="inlineStr">
        <is>
          <t>Pendiente</t>
        </is>
      </c>
      <c r="D125" s="10" t="inlineStr">
        <is>
          <t>SCH-M04</t>
        </is>
      </c>
      <c r="E125" s="12" t="inlineStr">
        <is>
          <t>12 · Agenda y Disponibilidad</t>
        </is>
      </c>
      <c r="F125" s="10" t="inlineStr">
        <is>
          <t>Mantenimiento</t>
        </is>
      </c>
      <c r="G125" s="12" t="inlineStr">
        <is>
          <t>Bloqueos internos</t>
        </is>
      </c>
      <c r="H125" s="13" t="inlineStr">
        <is>
          <t>Imprescindible</t>
        </is>
      </c>
      <c r="I125" s="10" t="inlineStr">
        <is>
          <t>MVP</t>
        </is>
      </c>
      <c r="J125" s="10" t="n">
        <v>7</v>
      </c>
      <c r="K125" s="12" t="inlineStr">
        <is>
          <t>Marketplace</t>
        </is>
      </c>
      <c r="L125" s="12" t="inlineStr">
        <is>
          <t>OB-11-004</t>
        </is>
      </c>
      <c r="M125" s="12" t="inlineStr"/>
      <c r="N125" s="12" t="inlineStr"/>
    </row>
    <row r="126">
      <c r="A126" s="10" t="n">
        <v>121</v>
      </c>
      <c r="B126" s="11">
        <f>IF(C126="Completo","☑",IF(C126="En progreso","◐","☐"))</f>
        <v/>
      </c>
      <c r="C126" s="10" t="inlineStr">
        <is>
          <t>Pendiente</t>
        </is>
      </c>
      <c r="D126" s="10" t="inlineStr">
        <is>
          <t>SCH-M05</t>
        </is>
      </c>
      <c r="E126" s="12" t="inlineStr">
        <is>
          <t>12 · Agenda y Disponibilidad</t>
        </is>
      </c>
      <c r="F126" s="10" t="inlineStr">
        <is>
          <t>Mantenimiento</t>
        </is>
      </c>
      <c r="G126" s="12" t="inlineStr">
        <is>
          <t>Antelación mínima/máxima</t>
        </is>
      </c>
      <c r="H126" s="13" t="inlineStr">
        <is>
          <t>Imprescindible</t>
        </is>
      </c>
      <c r="I126" s="10" t="inlineStr">
        <is>
          <t>MVP</t>
        </is>
      </c>
      <c r="J126" s="10" t="n">
        <v>7</v>
      </c>
      <c r="K126" s="12" t="inlineStr">
        <is>
          <t>Marketplace</t>
        </is>
      </c>
      <c r="L126" s="12" t="inlineStr">
        <is>
          <t>OB-12-003</t>
        </is>
      </c>
      <c r="M126" s="12" t="inlineStr"/>
      <c r="N126" s="12" t="inlineStr"/>
    </row>
    <row r="127">
      <c r="A127" s="6" t="n">
        <v>122</v>
      </c>
      <c r="B127" s="7">
        <f>IF(C127="Completo","☑",IF(C127="En progreso","◐","☐"))</f>
        <v/>
      </c>
      <c r="C127" s="6" t="inlineStr">
        <is>
          <t>Pendiente</t>
        </is>
      </c>
      <c r="D127" s="6" t="inlineStr">
        <is>
          <t>CNT-F08</t>
        </is>
      </c>
      <c r="E127" s="8" t="inlineStr">
        <is>
          <t>04 · Contenido</t>
        </is>
      </c>
      <c r="F127" s="6" t="inlineStr">
        <is>
          <t>Funcionalidad</t>
        </is>
      </c>
      <c r="G127" s="8" t="inlineStr">
        <is>
          <t>Etiquetar servicios + “Reservar este look”</t>
        </is>
      </c>
      <c r="H127" s="9" t="inlineStr">
        <is>
          <t>Imprescindible</t>
        </is>
      </c>
      <c r="I127" s="6" t="inlineStr">
        <is>
          <t>MVP</t>
        </is>
      </c>
      <c r="J127" s="6" t="n">
        <v>8</v>
      </c>
      <c r="K127" s="8" t="inlineStr">
        <is>
          <t>Red social</t>
        </is>
      </c>
      <c r="L127" s="8" t="inlineStr">
        <is>
          <t>OB-10-007</t>
        </is>
      </c>
      <c r="M127" s="8" t="inlineStr"/>
      <c r="N127" s="8" t="inlineStr"/>
    </row>
    <row r="128">
      <c r="A128" s="6" t="n">
        <v>123</v>
      </c>
      <c r="B128" s="7">
        <f>IF(C128="Completo","☑",IF(C128="En progreso","◐","☐"))</f>
        <v/>
      </c>
      <c r="C128" s="6" t="inlineStr">
        <is>
          <t>Pendiente</t>
        </is>
      </c>
      <c r="D128" s="6" t="inlineStr">
        <is>
          <t>VER-F09</t>
        </is>
      </c>
      <c r="E128" s="8" t="inlineStr">
        <is>
          <t>10 · Profesionales y Verificación</t>
        </is>
      </c>
      <c r="F128" s="6" t="inlineStr">
        <is>
          <t>Funcionalidad</t>
        </is>
      </c>
      <c r="G128" s="8" t="inlineStr">
        <is>
          <t>Regla “reservable” (verificado + servicio + horario)</t>
        </is>
      </c>
      <c r="H128" s="9" t="inlineStr">
        <is>
          <t>Imprescindible</t>
        </is>
      </c>
      <c r="I128" s="6" t="inlineStr">
        <is>
          <t>MVP</t>
        </is>
      </c>
      <c r="J128" s="6" t="n">
        <v>8</v>
      </c>
      <c r="K128" s="8" t="inlineStr">
        <is>
          <t>Marketplace</t>
        </is>
      </c>
      <c r="L128" s="8" t="inlineStr">
        <is>
          <t>§11.2</t>
        </is>
      </c>
      <c r="M128" s="8" t="inlineStr"/>
      <c r="N128" s="8" t="inlineStr"/>
    </row>
    <row r="129">
      <c r="A129" s="6" t="n">
        <v>124</v>
      </c>
      <c r="B129" s="7">
        <f>IF(C129="Completo","☑",IF(C129="En progreso","◐","☐"))</f>
        <v/>
      </c>
      <c r="C129" s="6" t="inlineStr">
        <is>
          <t>Pendiente</t>
        </is>
      </c>
      <c r="D129" s="6" t="inlineStr">
        <is>
          <t>CAT-F05</t>
        </is>
      </c>
      <c r="E129" s="8" t="inlineStr">
        <is>
          <t>11 · Catálogo de Servicios</t>
        </is>
      </c>
      <c r="F129" s="6" t="inlineStr">
        <is>
          <t>Funcionalidad</t>
        </is>
      </c>
      <c r="G129" s="8" t="inlineStr">
        <is>
          <t>Snapshot inmutable para reservas</t>
        </is>
      </c>
      <c r="H129" s="9" t="inlineStr">
        <is>
          <t>Imprescindible</t>
        </is>
      </c>
      <c r="I129" s="6" t="inlineStr">
        <is>
          <t>MVP</t>
        </is>
      </c>
      <c r="J129" s="6" t="n">
        <v>8</v>
      </c>
      <c r="K129" s="8" t="inlineStr">
        <is>
          <t>Marketplace</t>
        </is>
      </c>
      <c r="L129" s="8" t="inlineStr">
        <is>
          <t>OB-08-002</t>
        </is>
      </c>
      <c r="M129" s="8" t="inlineStr"/>
      <c r="N129" s="8" t="inlineStr"/>
    </row>
    <row r="130">
      <c r="A130" s="6" t="n">
        <v>125</v>
      </c>
      <c r="B130" s="7">
        <f>IF(C130="Completo","☑",IF(C130="En progreso","◐","☐"))</f>
        <v/>
      </c>
      <c r="C130" s="6" t="inlineStr">
        <is>
          <t>Pendiente</t>
        </is>
      </c>
      <c r="D130" s="6" t="inlineStr">
        <is>
          <t>SCH-F01</t>
        </is>
      </c>
      <c r="E130" s="8" t="inlineStr">
        <is>
          <t>12 · Agenda y Disponibilidad</t>
        </is>
      </c>
      <c r="F130" s="6" t="inlineStr">
        <is>
          <t>Funcionalidad</t>
        </is>
      </c>
      <c r="G130" s="8" t="inlineStr">
        <is>
          <t>Motor de disponibilidad</t>
        </is>
      </c>
      <c r="H130" s="9" t="inlineStr">
        <is>
          <t>Imprescindible</t>
        </is>
      </c>
      <c r="I130" s="6" t="inlineStr">
        <is>
          <t>MVP</t>
        </is>
      </c>
      <c r="J130" s="6" t="n">
        <v>8</v>
      </c>
      <c r="K130" s="8" t="inlineStr">
        <is>
          <t>Marketplace</t>
        </is>
      </c>
      <c r="L130" s="8" t="inlineStr">
        <is>
          <t>OB-11-005, OB-12-004</t>
        </is>
      </c>
      <c r="M130" s="8" t="inlineStr"/>
      <c r="N130" s="8" t="inlineStr"/>
    </row>
    <row r="131">
      <c r="A131" s="6" t="n">
        <v>126</v>
      </c>
      <c r="B131" s="7">
        <f>IF(C131="Completo","☑",IF(C131="En progreso","◐","☐"))</f>
        <v/>
      </c>
      <c r="C131" s="6" t="inlineStr">
        <is>
          <t>Pendiente</t>
        </is>
      </c>
      <c r="D131" s="6" t="inlineStr">
        <is>
          <t>SCH-F02</t>
        </is>
      </c>
      <c r="E131" s="8" t="inlineStr">
        <is>
          <t>12 · Agenda y Disponibilidad</t>
        </is>
      </c>
      <c r="F131" s="6" t="inlineStr">
        <is>
          <t>Funcionalidad</t>
        </is>
      </c>
      <c r="G131" s="8" t="inlineStr">
        <is>
          <t>Prevención de doble reserva (lock + constraint en BD)</t>
        </is>
      </c>
      <c r="H131" s="9" t="inlineStr">
        <is>
          <t>Imprescindible</t>
        </is>
      </c>
      <c r="I131" s="6" t="inlineStr">
        <is>
          <t>MVP</t>
        </is>
      </c>
      <c r="J131" s="6" t="n">
        <v>8</v>
      </c>
      <c r="K131" s="8" t="inlineStr">
        <is>
          <t>Marketplace</t>
        </is>
      </c>
      <c r="L131" s="8" t="inlineStr">
        <is>
          <t>OB-11-007</t>
        </is>
      </c>
      <c r="M131" s="8" t="inlineStr"/>
      <c r="N131" s="8" t="inlineStr"/>
    </row>
    <row r="132">
      <c r="A132" s="6" t="n">
        <v>127</v>
      </c>
      <c r="B132" s="7">
        <f>IF(C132="Completo","☑",IF(C132="En progreso","◐","☐"))</f>
        <v/>
      </c>
      <c r="C132" s="6" t="inlineStr">
        <is>
          <t>Pendiente</t>
        </is>
      </c>
      <c r="D132" s="6" t="inlineStr">
        <is>
          <t>SCH-F03</t>
        </is>
      </c>
      <c r="E132" s="8" t="inlineStr">
        <is>
          <t>12 · Agenda y Disponibilidad</t>
        </is>
      </c>
      <c r="F132" s="6" t="inlineStr">
        <is>
          <t>Funcionalidad</t>
        </is>
      </c>
      <c r="G132" s="8" t="inlineStr">
        <is>
          <t>Calendario día/semana/mes/lista</t>
        </is>
      </c>
      <c r="H132" s="9" t="inlineStr">
        <is>
          <t>Imprescindible</t>
        </is>
      </c>
      <c r="I132" s="6" t="inlineStr">
        <is>
          <t>MVP</t>
        </is>
      </c>
      <c r="J132" s="6" t="n">
        <v>8</v>
      </c>
      <c r="K132" s="8" t="inlineStr">
        <is>
          <t>Marketplace</t>
        </is>
      </c>
      <c r="L132" s="8" t="inlineStr">
        <is>
          <t>OB-11-008</t>
        </is>
      </c>
      <c r="M132" s="8" t="inlineStr"/>
      <c r="N132" s="8" t="inlineStr"/>
    </row>
    <row r="133">
      <c r="A133" s="6" t="n">
        <v>128</v>
      </c>
      <c r="B133" s="7">
        <f>IF(C133="Completo","☑",IF(C133="En progreso","◐","☐"))</f>
        <v/>
      </c>
      <c r="C133" s="6" t="inlineStr">
        <is>
          <t>Pendiente</t>
        </is>
      </c>
      <c r="D133" s="6" t="inlineStr">
        <is>
          <t>BKG-M01</t>
        </is>
      </c>
      <c r="E133" s="8" t="inlineStr">
        <is>
          <t>13 · Reservas</t>
        </is>
      </c>
      <c r="F133" s="6" t="inlineStr">
        <is>
          <t>Mantenimiento</t>
        </is>
      </c>
      <c r="G133" s="8" t="inlineStr">
        <is>
          <t>Estados y transiciones</t>
        </is>
      </c>
      <c r="H133" s="9" t="inlineStr">
        <is>
          <t>Imprescindible</t>
        </is>
      </c>
      <c r="I133" s="6" t="inlineStr">
        <is>
          <t>MVP</t>
        </is>
      </c>
      <c r="J133" s="6" t="n">
        <v>8</v>
      </c>
      <c r="K133" s="8" t="inlineStr">
        <is>
          <t>Marketplace</t>
        </is>
      </c>
      <c r="L133" s="8" t="inlineStr">
        <is>
          <t>Apéndice C</t>
        </is>
      </c>
      <c r="M133" s="8" t="inlineStr"/>
      <c r="N133" s="8" t="inlineStr"/>
    </row>
    <row r="134">
      <c r="A134" s="6" t="n">
        <v>129</v>
      </c>
      <c r="B134" s="7">
        <f>IF(C134="Completo","☑",IF(C134="En progreso","◐","☐"))</f>
        <v/>
      </c>
      <c r="C134" s="6" t="inlineStr">
        <is>
          <t>Pendiente</t>
        </is>
      </c>
      <c r="D134" s="6" t="inlineStr">
        <is>
          <t>BKG-M02</t>
        </is>
      </c>
      <c r="E134" s="8" t="inlineStr">
        <is>
          <t>13 · Reservas</t>
        </is>
      </c>
      <c r="F134" s="6" t="inlineStr">
        <is>
          <t>Mantenimiento</t>
        </is>
      </c>
      <c r="G134" s="8" t="inlineStr">
        <is>
          <t>Numeración de reservas</t>
        </is>
      </c>
      <c r="H134" s="9" t="inlineStr">
        <is>
          <t>Imprescindible</t>
        </is>
      </c>
      <c r="I134" s="6" t="inlineStr">
        <is>
          <t>MVP</t>
        </is>
      </c>
      <c r="J134" s="6" t="n">
        <v>8</v>
      </c>
      <c r="K134" s="8" t="inlineStr">
        <is>
          <t>Marketplace</t>
        </is>
      </c>
      <c r="L134" s="8" t="inlineStr">
        <is>
          <t>OB-12-007</t>
        </is>
      </c>
      <c r="M134" s="8" t="inlineStr"/>
      <c r="N134" s="8" t="inlineStr"/>
    </row>
    <row r="135">
      <c r="A135" s="6" t="n">
        <v>130</v>
      </c>
      <c r="B135" s="7">
        <f>IF(C135="Completo","☑",IF(C135="En progreso","◐","☐"))</f>
        <v/>
      </c>
      <c r="C135" s="6" t="inlineStr">
        <is>
          <t>Pendiente</t>
        </is>
      </c>
      <c r="D135" s="6" t="inlineStr">
        <is>
          <t>BKG-F01</t>
        </is>
      </c>
      <c r="E135" s="8" t="inlineStr">
        <is>
          <t>13 · Reservas</t>
        </is>
      </c>
      <c r="F135" s="6" t="inlineStr">
        <is>
          <t>Funcionalidad</t>
        </is>
      </c>
      <c r="G135" s="8" t="inlineStr">
        <is>
          <t>Motor de precio (base → extras → promo → traslado → impuestos → depósito)</t>
        </is>
      </c>
      <c r="H135" s="9" t="inlineStr">
        <is>
          <t>Imprescindible</t>
        </is>
      </c>
      <c r="I135" s="6" t="inlineStr">
        <is>
          <t>MVP</t>
        </is>
      </c>
      <c r="J135" s="6" t="n">
        <v>8</v>
      </c>
      <c r="K135" s="8" t="inlineStr">
        <is>
          <t>Marketplace</t>
        </is>
      </c>
      <c r="L135" s="8" t="inlineStr">
        <is>
          <t>OB-12-006</t>
        </is>
      </c>
      <c r="M135" s="8" t="inlineStr"/>
      <c r="N135" s="8" t="inlineStr"/>
    </row>
    <row r="136">
      <c r="A136" s="6" t="n">
        <v>131</v>
      </c>
      <c r="B136" s="7">
        <f>IF(C136="Completo","☑",IF(C136="En progreso","◐","☐"))</f>
        <v/>
      </c>
      <c r="C136" s="6" t="inlineStr">
        <is>
          <t>Pendiente</t>
        </is>
      </c>
      <c r="D136" s="6" t="inlineStr">
        <is>
          <t>BKG-F02</t>
        </is>
      </c>
      <c r="E136" s="8" t="inlineStr">
        <is>
          <t>13 · Reservas</t>
        </is>
      </c>
      <c r="F136" s="6" t="inlineStr">
        <is>
          <t>Funcionalidad</t>
        </is>
      </c>
      <c r="G136" s="8" t="inlineStr">
        <is>
          <t>Cotizar: servicio, profesional, fecha, hora, modalidad</t>
        </is>
      </c>
      <c r="H136" s="9" t="inlineStr">
        <is>
          <t>Imprescindible</t>
        </is>
      </c>
      <c r="I136" s="6" t="inlineStr">
        <is>
          <t>MVP</t>
        </is>
      </c>
      <c r="J136" s="6" t="n">
        <v>8</v>
      </c>
      <c r="K136" s="8" t="inlineStr">
        <is>
          <t>Marketplace</t>
        </is>
      </c>
      <c r="L136" s="8" t="inlineStr">
        <is>
          <t>OB-12-001..006</t>
        </is>
      </c>
      <c r="M136" s="8" t="inlineStr"/>
      <c r="N136" s="8" t="inlineStr"/>
    </row>
    <row r="137">
      <c r="A137" s="6" t="n">
        <v>132</v>
      </c>
      <c r="B137" s="7">
        <f>IF(C137="Completo","☑",IF(C137="En progreso","◐","☐"))</f>
        <v/>
      </c>
      <c r="C137" s="6" t="inlineStr">
        <is>
          <t>Pendiente</t>
        </is>
      </c>
      <c r="D137" s="6" t="inlineStr">
        <is>
          <t>BKG-F03</t>
        </is>
      </c>
      <c r="E137" s="8" t="inlineStr">
        <is>
          <t>13 · Reservas</t>
        </is>
      </c>
      <c r="F137" s="6" t="inlineStr">
        <is>
          <t>Funcionalidad</t>
        </is>
      </c>
      <c r="G137" s="8" t="inlineStr">
        <is>
          <t>Confirmar reserva (idempotente, snapshot)</t>
        </is>
      </c>
      <c r="H137" s="9" t="inlineStr">
        <is>
          <t>Imprescindible</t>
        </is>
      </c>
      <c r="I137" s="6" t="inlineStr">
        <is>
          <t>MVP</t>
        </is>
      </c>
      <c r="J137" s="6" t="n">
        <v>8</v>
      </c>
      <c r="K137" s="8" t="inlineStr">
        <is>
          <t>Marketplace</t>
        </is>
      </c>
      <c r="L137" s="8" t="inlineStr">
        <is>
          <t>OB-12-007</t>
        </is>
      </c>
      <c r="M137" s="8" t="inlineStr"/>
      <c r="N137" s="8" t="inlineStr"/>
    </row>
    <row r="138">
      <c r="A138" s="6" t="n">
        <v>133</v>
      </c>
      <c r="B138" s="7">
        <f>IF(C138="Completo","☑",IF(C138="En progreso","◐","☐"))</f>
        <v/>
      </c>
      <c r="C138" s="6" t="inlineStr">
        <is>
          <t>Pendiente</t>
        </is>
      </c>
      <c r="D138" s="6" t="inlineStr">
        <is>
          <t>BKG-F04</t>
        </is>
      </c>
      <c r="E138" s="8" t="inlineStr">
        <is>
          <t>13 · Reservas</t>
        </is>
      </c>
      <c r="F138" s="6" t="inlineStr">
        <is>
          <t>Funcionalidad</t>
        </is>
      </c>
      <c r="G138" s="8" t="inlineStr">
        <is>
          <t>Evidencia operacional por transición</t>
        </is>
      </c>
      <c r="H138" s="9" t="inlineStr">
        <is>
          <t>Imprescindible</t>
        </is>
      </c>
      <c r="I138" s="6" t="inlineStr">
        <is>
          <t>MVP</t>
        </is>
      </c>
      <c r="J138" s="6" t="n">
        <v>8</v>
      </c>
      <c r="K138" s="8" t="inlineStr">
        <is>
          <t>Marketplace</t>
        </is>
      </c>
      <c r="L138" s="8" t="inlineStr">
        <is>
          <t>OB-16-003</t>
        </is>
      </c>
      <c r="M138" s="8" t="inlineStr"/>
      <c r="N138" s="8" t="inlineStr"/>
    </row>
    <row r="139">
      <c r="A139" s="6" t="n">
        <v>134</v>
      </c>
      <c r="B139" s="7">
        <f>IF(C139="Completo","☑",IF(C139="En progreso","◐","☐"))</f>
        <v/>
      </c>
      <c r="C139" s="6" t="inlineStr">
        <is>
          <t>Pendiente</t>
        </is>
      </c>
      <c r="D139" s="6" t="inlineStr">
        <is>
          <t>BKG-F05</t>
        </is>
      </c>
      <c r="E139" s="8" t="inlineStr">
        <is>
          <t>13 · Reservas</t>
        </is>
      </c>
      <c r="F139" s="6" t="inlineStr">
        <is>
          <t>Funcionalidad</t>
        </is>
      </c>
      <c r="G139" s="8" t="inlineStr">
        <is>
          <t>Origen de la reserva (post, story, perfil) para atribución</t>
        </is>
      </c>
      <c r="H139" s="9" t="inlineStr">
        <is>
          <t>Imprescindible</t>
        </is>
      </c>
      <c r="I139" s="6" t="inlineStr">
        <is>
          <t>MVP</t>
        </is>
      </c>
      <c r="J139" s="6" t="n">
        <v>8</v>
      </c>
      <c r="K139" s="8" t="inlineStr">
        <is>
          <t>Marketplace</t>
        </is>
      </c>
      <c r="L139" s="8" t="inlineStr">
        <is>
          <t>OB-10-007</t>
        </is>
      </c>
      <c r="M139" s="8" t="inlineStr"/>
      <c r="N139" s="8" t="inlineStr"/>
    </row>
    <row r="140">
      <c r="A140" s="10" t="n">
        <v>135</v>
      </c>
      <c r="B140" s="11">
        <f>IF(C140="Completo","☑",IF(C140="En progreso","◐","☐"))</f>
        <v/>
      </c>
      <c r="C140" s="10" t="inlineStr">
        <is>
          <t>Pendiente</t>
        </is>
      </c>
      <c r="D140" s="10" t="inlineStr">
        <is>
          <t>PRF-M03</t>
        </is>
      </c>
      <c r="E140" s="12" t="inlineStr">
        <is>
          <t>02 · Perfiles</t>
        </is>
      </c>
      <c r="F140" s="10" t="inlineStr">
        <is>
          <t>Mantenimiento</t>
        </is>
      </c>
      <c r="G140" s="12" t="inlineStr">
        <is>
          <t>Tipos de favorito</t>
        </is>
      </c>
      <c r="H140" s="13" t="inlineStr">
        <is>
          <t>Imprescindible</t>
        </is>
      </c>
      <c r="I140" s="10" t="inlineStr">
        <is>
          <t>MVP</t>
        </is>
      </c>
      <c r="J140" s="10" t="n">
        <v>9</v>
      </c>
      <c r="K140" s="12" t="inlineStr">
        <is>
          <t>Red social</t>
        </is>
      </c>
      <c r="L140" s="12" t="inlineStr">
        <is>
          <t>OB-03-003</t>
        </is>
      </c>
      <c r="M140" s="12" t="inlineStr"/>
      <c r="N140" s="12" t="inlineStr"/>
    </row>
    <row r="141">
      <c r="A141" s="10" t="n">
        <v>136</v>
      </c>
      <c r="B141" s="11">
        <f>IF(C141="Completo","☑",IF(C141="En progreso","◐","☐"))</f>
        <v/>
      </c>
      <c r="C141" s="10" t="inlineStr">
        <is>
          <t>Pendiente</t>
        </is>
      </c>
      <c r="D141" s="10" t="inlineStr">
        <is>
          <t>PRF-F06</t>
        </is>
      </c>
      <c r="E141" s="12" t="inlineStr">
        <is>
          <t>02 · Perfiles</t>
        </is>
      </c>
      <c r="F141" s="10" t="inlineStr">
        <is>
          <t>Funcionalidad</t>
        </is>
      </c>
      <c r="G141" s="12" t="inlineStr">
        <is>
          <t>Direcciones guardadas privadas</t>
        </is>
      </c>
      <c r="H141" s="13" t="inlineStr">
        <is>
          <t>Imprescindible</t>
        </is>
      </c>
      <c r="I141" s="10" t="inlineStr">
        <is>
          <t>MVP</t>
        </is>
      </c>
      <c r="J141" s="10" t="n">
        <v>9</v>
      </c>
      <c r="K141" s="12" t="inlineStr">
        <is>
          <t>Red social</t>
        </is>
      </c>
      <c r="L141" s="12" t="inlineStr">
        <is>
          <t>OB-03-002</t>
        </is>
      </c>
      <c r="M141" s="12" t="inlineStr"/>
      <c r="N141" s="12" t="inlineStr"/>
    </row>
    <row r="142">
      <c r="A142" s="10" t="n">
        <v>137</v>
      </c>
      <c r="B142" s="11">
        <f>IF(C142="Completo","☑",IF(C142="En progreso","◐","☐"))</f>
        <v/>
      </c>
      <c r="C142" s="10" t="inlineStr">
        <is>
          <t>Pendiente</t>
        </is>
      </c>
      <c r="D142" s="10" t="inlineStr">
        <is>
          <t>PRF-F07</t>
        </is>
      </c>
      <c r="E142" s="12" t="inlineStr">
        <is>
          <t>02 · Perfiles</t>
        </is>
      </c>
      <c r="F142" s="10" t="inlineStr">
        <is>
          <t>Funcionalidad</t>
        </is>
      </c>
      <c r="G142" s="12" t="inlineStr">
        <is>
          <t>Favoritos (profesionales, negocios, servicios)</t>
        </is>
      </c>
      <c r="H142" s="13" t="inlineStr">
        <is>
          <t>Imprescindible</t>
        </is>
      </c>
      <c r="I142" s="10" t="inlineStr">
        <is>
          <t>MVP</t>
        </is>
      </c>
      <c r="J142" s="10" t="n">
        <v>9</v>
      </c>
      <c r="K142" s="12" t="inlineStr">
        <is>
          <t>Red social</t>
        </is>
      </c>
      <c r="L142" s="12" t="inlineStr">
        <is>
          <t>OB-03-003</t>
        </is>
      </c>
      <c r="M142" s="12" t="inlineStr"/>
      <c r="N142" s="12" t="inlineStr"/>
    </row>
    <row r="143">
      <c r="A143" s="10" t="n">
        <v>138</v>
      </c>
      <c r="B143" s="11">
        <f>IF(C143="Completo","☑",IF(C143="En progreso","◐","☐"))</f>
        <v/>
      </c>
      <c r="C143" s="10" t="inlineStr">
        <is>
          <t>Pendiente</t>
        </is>
      </c>
      <c r="D143" s="10" t="inlineStr">
        <is>
          <t>SCH-F04</t>
        </is>
      </c>
      <c r="E143" s="12" t="inlineStr">
        <is>
          <t>12 · Agenda y Disponibilidad</t>
        </is>
      </c>
      <c r="F143" s="10" t="inlineStr">
        <is>
          <t>Funcionalidad</t>
        </is>
      </c>
      <c r="G143" s="12" t="inlineStr">
        <is>
          <t>Conflictos al cambiar horario o vacaciones</t>
        </is>
      </c>
      <c r="H143" s="13" t="inlineStr">
        <is>
          <t>Imprescindible</t>
        </is>
      </c>
      <c r="I143" s="10" t="inlineStr">
        <is>
          <t>MVP</t>
        </is>
      </c>
      <c r="J143" s="10" t="n">
        <v>9</v>
      </c>
      <c r="K143" s="12" t="inlineStr">
        <is>
          <t>Marketplace</t>
        </is>
      </c>
      <c r="L143" s="12" t="inlineStr">
        <is>
          <t>OB-11-002/003</t>
        </is>
      </c>
      <c r="M143" s="12" t="inlineStr"/>
      <c r="N143" s="12" t="inlineStr"/>
    </row>
    <row r="144">
      <c r="A144" s="10" t="n">
        <v>139</v>
      </c>
      <c r="B144" s="11">
        <f>IF(C144="Completo","☑",IF(C144="En progreso","◐","☐"))</f>
        <v/>
      </c>
      <c r="C144" s="10" t="inlineStr">
        <is>
          <t>Pendiente</t>
        </is>
      </c>
      <c r="D144" s="10" t="inlineStr">
        <is>
          <t>BKG-M03</t>
        </is>
      </c>
      <c r="E144" s="12" t="inlineStr">
        <is>
          <t>13 · Reservas</t>
        </is>
      </c>
      <c r="F144" s="10" t="inlineStr">
        <is>
          <t>Mantenimiento</t>
        </is>
      </c>
      <c r="G144" s="12" t="inlineStr">
        <is>
          <t>Motivos de cancelación</t>
        </is>
      </c>
      <c r="H144" s="13" t="inlineStr">
        <is>
          <t>Imprescindible</t>
        </is>
      </c>
      <c r="I144" s="10" t="inlineStr">
        <is>
          <t>MVP</t>
        </is>
      </c>
      <c r="J144" s="10" t="n">
        <v>9</v>
      </c>
      <c r="K144" s="12" t="inlineStr">
        <is>
          <t>Marketplace</t>
        </is>
      </c>
      <c r="L144" s="12" t="inlineStr">
        <is>
          <t>OB-12-009</t>
        </is>
      </c>
      <c r="M144" s="12" t="inlineStr"/>
      <c r="N144" s="12" t="inlineStr"/>
    </row>
    <row r="145">
      <c r="A145" s="10" t="n">
        <v>140</v>
      </c>
      <c r="B145" s="11">
        <f>IF(C145="Completo","☑",IF(C145="En progreso","◐","☐"))</f>
        <v/>
      </c>
      <c r="C145" s="10" t="inlineStr">
        <is>
          <t>Pendiente</t>
        </is>
      </c>
      <c r="D145" s="10" t="inlineStr">
        <is>
          <t>BKG-F06</t>
        </is>
      </c>
      <c r="E145" s="12" t="inlineStr">
        <is>
          <t>13 · Reservas</t>
        </is>
      </c>
      <c r="F145" s="10" t="inlineStr">
        <is>
          <t>Funcionalidad</t>
        </is>
      </c>
      <c r="G145" s="12" t="inlineStr">
        <is>
          <t>Mis citas / agenda del profesional</t>
        </is>
      </c>
      <c r="H145" s="13" t="inlineStr">
        <is>
          <t>Imprescindible</t>
        </is>
      </c>
      <c r="I145" s="10" t="inlineStr">
        <is>
          <t>MVP</t>
        </is>
      </c>
      <c r="J145" s="10" t="n">
        <v>9</v>
      </c>
      <c r="K145" s="12" t="inlineStr">
        <is>
          <t>Marketplace</t>
        </is>
      </c>
      <c r="L145" s="12" t="inlineStr">
        <is>
          <t>§5</t>
        </is>
      </c>
      <c r="M145" s="12" t="inlineStr"/>
      <c r="N145" s="12" t="inlineStr"/>
    </row>
    <row r="146">
      <c r="A146" s="10" t="n">
        <v>141</v>
      </c>
      <c r="B146" s="11">
        <f>IF(C146="Completo","☑",IF(C146="En progreso","◐","☐"))</f>
        <v/>
      </c>
      <c r="C146" s="10" t="inlineStr">
        <is>
          <t>Pendiente</t>
        </is>
      </c>
      <c r="D146" s="10" t="inlineStr">
        <is>
          <t>BKG-F07</t>
        </is>
      </c>
      <c r="E146" s="12" t="inlineStr">
        <is>
          <t>13 · Reservas</t>
        </is>
      </c>
      <c r="F146" s="10" t="inlineStr">
        <is>
          <t>Funcionalidad</t>
        </is>
      </c>
      <c r="G146" s="12" t="inlineStr">
        <is>
          <t>Reprogramar</t>
        </is>
      </c>
      <c r="H146" s="13" t="inlineStr">
        <is>
          <t>Imprescindible</t>
        </is>
      </c>
      <c r="I146" s="10" t="inlineStr">
        <is>
          <t>MVP</t>
        </is>
      </c>
      <c r="J146" s="10" t="n">
        <v>9</v>
      </c>
      <c r="K146" s="12" t="inlineStr">
        <is>
          <t>Marketplace</t>
        </is>
      </c>
      <c r="L146" s="12" t="inlineStr">
        <is>
          <t>OB-12-008</t>
        </is>
      </c>
      <c r="M146" s="12" t="inlineStr"/>
      <c r="N146" s="12" t="inlineStr"/>
    </row>
    <row r="147">
      <c r="A147" s="10" t="n">
        <v>142</v>
      </c>
      <c r="B147" s="11">
        <f>IF(C147="Completo","☑",IF(C147="En progreso","◐","☐"))</f>
        <v/>
      </c>
      <c r="C147" s="10" t="inlineStr">
        <is>
          <t>Pendiente</t>
        </is>
      </c>
      <c r="D147" s="10" t="inlineStr">
        <is>
          <t>BKG-F08</t>
        </is>
      </c>
      <c r="E147" s="12" t="inlineStr">
        <is>
          <t>13 · Reservas</t>
        </is>
      </c>
      <c r="F147" s="10" t="inlineStr">
        <is>
          <t>Funcionalidad</t>
        </is>
      </c>
      <c r="G147" s="12" t="inlineStr">
        <is>
          <t>Cancelar con penalización/reembolso</t>
        </is>
      </c>
      <c r="H147" s="13" t="inlineStr">
        <is>
          <t>Imprescindible</t>
        </is>
      </c>
      <c r="I147" s="10" t="inlineStr">
        <is>
          <t>MVP</t>
        </is>
      </c>
      <c r="J147" s="10" t="n">
        <v>9</v>
      </c>
      <c r="K147" s="12" t="inlineStr">
        <is>
          <t>Marketplace</t>
        </is>
      </c>
      <c r="L147" s="12" t="inlineStr">
        <is>
          <t>OB-12-009</t>
        </is>
      </c>
      <c r="M147" s="12" t="inlineStr"/>
      <c r="N147" s="12" t="inlineStr"/>
    </row>
    <row r="148">
      <c r="A148" s="10" t="n">
        <v>143</v>
      </c>
      <c r="B148" s="11">
        <f>IF(C148="Completo","☑",IF(C148="En progreso","◐","☐"))</f>
        <v/>
      </c>
      <c r="C148" s="10" t="inlineStr">
        <is>
          <t>Pendiente</t>
        </is>
      </c>
      <c r="D148" s="10" t="inlineStr">
        <is>
          <t>HOM-M01</t>
        </is>
      </c>
      <c r="E148" s="12" t="inlineStr">
        <is>
          <t>14 · Servicio a Domicilio</t>
        </is>
      </c>
      <c r="F148" s="10" t="inlineStr">
        <is>
          <t>Mantenimiento</t>
        </is>
      </c>
      <c r="G148" s="12" t="inlineStr">
        <is>
          <t>Zonas de cobertura</t>
        </is>
      </c>
      <c r="H148" s="13" t="inlineStr">
        <is>
          <t>Imprescindible</t>
        </is>
      </c>
      <c r="I148" s="10" t="inlineStr">
        <is>
          <t>MVP</t>
        </is>
      </c>
      <c r="J148" s="10" t="n">
        <v>9</v>
      </c>
      <c r="K148" s="12" t="inlineStr">
        <is>
          <t>Marketplace</t>
        </is>
      </c>
      <c r="L148" s="12" t="inlineStr">
        <is>
          <t>OB-14-001</t>
        </is>
      </c>
      <c r="M148" s="12" t="inlineStr"/>
      <c r="N148" s="12" t="inlineStr"/>
    </row>
    <row r="149">
      <c r="A149" s="10" t="n">
        <v>144</v>
      </c>
      <c r="B149" s="11">
        <f>IF(C149="Completo","☑",IF(C149="En progreso","◐","☐"))</f>
        <v/>
      </c>
      <c r="C149" s="10" t="inlineStr">
        <is>
          <t>Pendiente</t>
        </is>
      </c>
      <c r="D149" s="10" t="inlineStr">
        <is>
          <t>HOM-M02</t>
        </is>
      </c>
      <c r="E149" s="12" t="inlineStr">
        <is>
          <t>14 · Servicio a Domicilio</t>
        </is>
      </c>
      <c r="F149" s="10" t="inlineStr">
        <is>
          <t>Mantenimiento</t>
        </is>
      </c>
      <c r="G149" s="12" t="inlineStr">
        <is>
          <t>Reglas de tarifa de traslado</t>
        </is>
      </c>
      <c r="H149" s="13" t="inlineStr">
        <is>
          <t>Imprescindible</t>
        </is>
      </c>
      <c r="I149" s="10" t="inlineStr">
        <is>
          <t>MVP</t>
        </is>
      </c>
      <c r="J149" s="10" t="n">
        <v>9</v>
      </c>
      <c r="K149" s="12" t="inlineStr">
        <is>
          <t>Marketplace</t>
        </is>
      </c>
      <c r="L149" s="12" t="inlineStr">
        <is>
          <t>OB-14-002</t>
        </is>
      </c>
      <c r="M149" s="12" t="inlineStr"/>
      <c r="N149" s="12" t="inlineStr"/>
    </row>
    <row r="150">
      <c r="A150" s="10" t="n">
        <v>145</v>
      </c>
      <c r="B150" s="11">
        <f>IF(C150="Completo","☑",IF(C150="En progreso","◐","☐"))</f>
        <v/>
      </c>
      <c r="C150" s="10" t="inlineStr">
        <is>
          <t>Pendiente</t>
        </is>
      </c>
      <c r="D150" s="10" t="inlineStr">
        <is>
          <t>HOM-M03</t>
        </is>
      </c>
      <c r="E150" s="12" t="inlineStr">
        <is>
          <t>14 · Servicio a Domicilio</t>
        </is>
      </c>
      <c r="F150" s="10" t="inlineStr">
        <is>
          <t>Mantenimiento</t>
        </is>
      </c>
      <c r="G150" s="12" t="inlineStr">
        <is>
          <t>Proveedor de mapas (límites, fallback)</t>
        </is>
      </c>
      <c r="H150" s="13" t="inlineStr">
        <is>
          <t>Imprescindible</t>
        </is>
      </c>
      <c r="I150" s="10" t="inlineStr">
        <is>
          <t>MVP</t>
        </is>
      </c>
      <c r="J150" s="10" t="n">
        <v>9</v>
      </c>
      <c r="K150" s="12" t="inlineStr">
        <is>
          <t>Marketplace</t>
        </is>
      </c>
      <c r="L150" s="12" t="inlineStr">
        <is>
          <t>§14.2</t>
        </is>
      </c>
      <c r="M150" s="12" t="inlineStr"/>
      <c r="N150" s="12" t="inlineStr"/>
    </row>
    <row r="151">
      <c r="A151" s="10" t="n">
        <v>146</v>
      </c>
      <c r="B151" s="11">
        <f>IF(C151="Completo","☑",IF(C151="En progreso","◐","☐"))</f>
        <v/>
      </c>
      <c r="C151" s="10" t="inlineStr">
        <is>
          <t>Pendiente</t>
        </is>
      </c>
      <c r="D151" s="10" t="inlineStr">
        <is>
          <t>HOM-F01</t>
        </is>
      </c>
      <c r="E151" s="12" t="inlineStr">
        <is>
          <t>14 · Servicio a Domicilio</t>
        </is>
      </c>
      <c r="F151" s="10" t="inlineStr">
        <is>
          <t>Funcionalidad</t>
        </is>
      </c>
      <c r="G151" s="12" t="inlineStr">
        <is>
          <t>Validar dirección contra cobertura</t>
        </is>
      </c>
      <c r="H151" s="13" t="inlineStr">
        <is>
          <t>Imprescindible</t>
        </is>
      </c>
      <c r="I151" s="10" t="inlineStr">
        <is>
          <t>MVP</t>
        </is>
      </c>
      <c r="J151" s="10" t="n">
        <v>9</v>
      </c>
      <c r="K151" s="12" t="inlineStr">
        <is>
          <t>Marketplace</t>
        </is>
      </c>
      <c r="L151" s="12" t="inlineStr">
        <is>
          <t>OB-14-001</t>
        </is>
      </c>
      <c r="M151" s="12" t="inlineStr"/>
      <c r="N151" s="12" t="inlineStr"/>
    </row>
    <row r="152">
      <c r="A152" s="10" t="n">
        <v>147</v>
      </c>
      <c r="B152" s="11">
        <f>IF(C152="Completo","☑",IF(C152="En progreso","◐","☐"))</f>
        <v/>
      </c>
      <c r="C152" s="10" t="inlineStr">
        <is>
          <t>Pendiente</t>
        </is>
      </c>
      <c r="D152" s="10" t="inlineStr">
        <is>
          <t>HOM-F02</t>
        </is>
      </c>
      <c r="E152" s="12" t="inlineStr">
        <is>
          <t>14 · Servicio a Domicilio</t>
        </is>
      </c>
      <c r="F152" s="10" t="inlineStr">
        <is>
          <t>Funcionalidad</t>
        </is>
      </c>
      <c r="G152" s="12" t="inlineStr">
        <is>
          <t>Calcular traslado y guardar desglose</t>
        </is>
      </c>
      <c r="H152" s="13" t="inlineStr">
        <is>
          <t>Imprescindible</t>
        </is>
      </c>
      <c r="I152" s="10" t="inlineStr">
        <is>
          <t>MVP</t>
        </is>
      </c>
      <c r="J152" s="10" t="n">
        <v>9</v>
      </c>
      <c r="K152" s="12" t="inlineStr">
        <is>
          <t>Marketplace</t>
        </is>
      </c>
      <c r="L152" s="12" t="inlineStr">
        <is>
          <t>OB-14-002</t>
        </is>
      </c>
      <c r="M152" s="12" t="inlineStr"/>
      <c r="N152" s="12" t="inlineStr"/>
    </row>
    <row r="153">
      <c r="A153" s="10" t="n">
        <v>148</v>
      </c>
      <c r="B153" s="11">
        <f>IF(C153="Completo","☑",IF(C153="En progreso","◐","☐"))</f>
        <v/>
      </c>
      <c r="C153" s="10" t="inlineStr">
        <is>
          <t>Pendiente</t>
        </is>
      </c>
      <c r="D153" s="10" t="inlineStr">
        <is>
          <t>HOM-F03</t>
        </is>
      </c>
      <c r="E153" s="12" t="inlineStr">
        <is>
          <t>14 · Servicio a Domicilio</t>
        </is>
      </c>
      <c r="F153" s="10" t="inlineStr">
        <is>
          <t>Funcionalidad</t>
        </is>
      </c>
      <c r="G153" s="12" t="inlineStr">
        <is>
          <t>Precio transparente (estimado vs definitivo)</t>
        </is>
      </c>
      <c r="H153" s="13" t="inlineStr">
        <is>
          <t>Imprescindible</t>
        </is>
      </c>
      <c r="I153" s="10" t="inlineStr">
        <is>
          <t>MVP</t>
        </is>
      </c>
      <c r="J153" s="10" t="n">
        <v>9</v>
      </c>
      <c r="K153" s="12" t="inlineStr">
        <is>
          <t>Marketplace</t>
        </is>
      </c>
      <c r="L153" s="12" t="inlineStr">
        <is>
          <t>OB-14-003</t>
        </is>
      </c>
      <c r="M153" s="12" t="inlineStr"/>
      <c r="N153" s="12" t="inlineStr"/>
    </row>
    <row r="154">
      <c r="A154" s="10" t="n">
        <v>149</v>
      </c>
      <c r="B154" s="11">
        <f>IF(C154="Completo","☑",IF(C154="En progreso","◐","☐"))</f>
        <v/>
      </c>
      <c r="C154" s="10" t="inlineStr">
        <is>
          <t>Pendiente</t>
        </is>
      </c>
      <c r="D154" s="10" t="inlineStr">
        <is>
          <t>HOM-F04</t>
        </is>
      </c>
      <c r="E154" s="12" t="inlineStr">
        <is>
          <t>14 · Servicio a Domicilio</t>
        </is>
      </c>
      <c r="F154" s="10" t="inlineStr">
        <is>
          <t>Funcionalidad</t>
        </is>
      </c>
      <c r="G154" s="12" t="inlineStr">
        <is>
          <t>Proteger dirección exacta</t>
        </is>
      </c>
      <c r="H154" s="13" t="inlineStr">
        <is>
          <t>Imprescindible</t>
        </is>
      </c>
      <c r="I154" s="10" t="inlineStr">
        <is>
          <t>MVP</t>
        </is>
      </c>
      <c r="J154" s="10" t="n">
        <v>9</v>
      </c>
      <c r="K154" s="12" t="inlineStr">
        <is>
          <t>Marketplace</t>
        </is>
      </c>
      <c r="L154" s="12" t="inlineStr">
        <is>
          <t>OB-14-004</t>
        </is>
      </c>
      <c r="M154" s="12" t="inlineStr"/>
      <c r="N154" s="12" t="inlineStr"/>
    </row>
    <row r="155">
      <c r="A155" s="6" t="n">
        <v>150</v>
      </c>
      <c r="B155" s="7">
        <f>IF(C155="Completo","☑",IF(C155="En progreso","◐","☐"))</f>
        <v/>
      </c>
      <c r="C155" s="6" t="inlineStr">
        <is>
          <t>Pendiente</t>
        </is>
      </c>
      <c r="D155" s="6" t="inlineStr">
        <is>
          <t>PAY-M01</t>
        </is>
      </c>
      <c r="E155" s="8" t="inlineStr">
        <is>
          <t>17 · Pagos y Finanzas</t>
        </is>
      </c>
      <c r="F155" s="6" t="inlineStr">
        <is>
          <t>Mantenimiento</t>
        </is>
      </c>
      <c r="G155" s="8" t="inlineStr">
        <is>
          <t>Proveedor de pagos por entorno</t>
        </is>
      </c>
      <c r="H155" s="9" t="inlineStr">
        <is>
          <t>Imprescindible</t>
        </is>
      </c>
      <c r="I155" s="6" t="inlineStr">
        <is>
          <t>MVP</t>
        </is>
      </c>
      <c r="J155" s="6" t="n">
        <v>10</v>
      </c>
      <c r="K155" s="8" t="inlineStr">
        <is>
          <t>Dinero</t>
        </is>
      </c>
      <c r="L155" s="8" t="inlineStr">
        <is>
          <t>§14.2, §13.3</t>
        </is>
      </c>
      <c r="M155" s="8" t="inlineStr"/>
      <c r="N155" s="8" t="inlineStr"/>
    </row>
    <row r="156">
      <c r="A156" s="6" t="n">
        <v>151</v>
      </c>
      <c r="B156" s="7">
        <f>IF(C156="Completo","☑",IF(C156="En progreso","◐","☐"))</f>
        <v/>
      </c>
      <c r="C156" s="6" t="inlineStr">
        <is>
          <t>Pendiente</t>
        </is>
      </c>
      <c r="D156" s="6" t="inlineStr">
        <is>
          <t>PAY-M02</t>
        </is>
      </c>
      <c r="E156" s="8" t="inlineStr">
        <is>
          <t>17 · Pagos y Finanzas</t>
        </is>
      </c>
      <c r="F156" s="6" t="inlineStr">
        <is>
          <t>Mantenimiento</t>
        </is>
      </c>
      <c r="G156" s="8" t="inlineStr">
        <is>
          <t>Reglas de comisión Owney</t>
        </is>
      </c>
      <c r="H156" s="9" t="inlineStr">
        <is>
          <t>Imprescindible</t>
        </is>
      </c>
      <c r="I156" s="6" t="inlineStr">
        <is>
          <t>MVP</t>
        </is>
      </c>
      <c r="J156" s="6" t="n">
        <v>10</v>
      </c>
      <c r="K156" s="8" t="inlineStr">
        <is>
          <t>Dinero</t>
        </is>
      </c>
      <c r="L156" s="8" t="inlineStr">
        <is>
          <t>OB-17-006</t>
        </is>
      </c>
      <c r="M156" s="8" t="inlineStr"/>
      <c r="N156" s="8" t="inlineStr"/>
    </row>
    <row r="157">
      <c r="A157" s="6" t="n">
        <v>152</v>
      </c>
      <c r="B157" s="7">
        <f>IF(C157="Completo","☑",IF(C157="En progreso","◐","☐"))</f>
        <v/>
      </c>
      <c r="C157" s="6" t="inlineStr">
        <is>
          <t>Pendiente</t>
        </is>
      </c>
      <c r="D157" s="6" t="inlineStr">
        <is>
          <t>PAY-M03</t>
        </is>
      </c>
      <c r="E157" s="8" t="inlineStr">
        <is>
          <t>17 · Pagos y Finanzas</t>
        </is>
      </c>
      <c r="F157" s="6" t="inlineStr">
        <is>
          <t>Mantenimiento</t>
        </is>
      </c>
      <c r="G157" s="8" t="inlineStr">
        <is>
          <t>Plan de cuentas del ledger</t>
        </is>
      </c>
      <c r="H157" s="9" t="inlineStr">
        <is>
          <t>Imprescindible</t>
        </is>
      </c>
      <c r="I157" s="6" t="inlineStr">
        <is>
          <t>MVP</t>
        </is>
      </c>
      <c r="J157" s="6" t="n">
        <v>10</v>
      </c>
      <c r="K157" s="8" t="inlineStr">
        <is>
          <t>Dinero</t>
        </is>
      </c>
      <c r="L157" s="8" t="inlineStr">
        <is>
          <t>OB-45-001</t>
        </is>
      </c>
      <c r="M157" s="8" t="inlineStr"/>
      <c r="N157" s="8" t="inlineStr"/>
    </row>
    <row r="158">
      <c r="A158" s="6" t="n">
        <v>153</v>
      </c>
      <c r="B158" s="7">
        <f>IF(C158="Completo","☑",IF(C158="En progreso","◐","☐"))</f>
        <v/>
      </c>
      <c r="C158" s="6" t="inlineStr">
        <is>
          <t>Pendiente</t>
        </is>
      </c>
      <c r="D158" s="6" t="inlineStr">
        <is>
          <t>PAY-F01</t>
        </is>
      </c>
      <c r="E158" s="8" t="inlineStr">
        <is>
          <t>17 · Pagos y Finanzas</t>
        </is>
      </c>
      <c r="F158" s="6" t="inlineStr">
        <is>
          <t>Funcionalidad</t>
        </is>
      </c>
      <c r="G158" s="8" t="inlineStr">
        <is>
          <t>Integración con proveedor real (sandbox en dev/staging)</t>
        </is>
      </c>
      <c r="H158" s="9" t="inlineStr">
        <is>
          <t>Imprescindible</t>
        </is>
      </c>
      <c r="I158" s="6" t="inlineStr">
        <is>
          <t>MVP</t>
        </is>
      </c>
      <c r="J158" s="6" t="n">
        <v>10</v>
      </c>
      <c r="K158" s="8" t="inlineStr">
        <is>
          <t>Dinero</t>
        </is>
      </c>
      <c r="L158" s="8" t="inlineStr">
        <is>
          <t>§14.2</t>
        </is>
      </c>
      <c r="M158" s="8" t="inlineStr"/>
      <c r="N158" s="8" t="inlineStr"/>
    </row>
    <row r="159">
      <c r="A159" s="6" t="n">
        <v>154</v>
      </c>
      <c r="B159" s="7">
        <f>IF(C159="Completo","☑",IF(C159="En progreso","◐","☐"))</f>
        <v/>
      </c>
      <c r="C159" s="6" t="inlineStr">
        <is>
          <t>Pendiente</t>
        </is>
      </c>
      <c r="D159" s="6" t="inlineStr">
        <is>
          <t>PAY-F02</t>
        </is>
      </c>
      <c r="E159" s="8" t="inlineStr">
        <is>
          <t>17 · Pagos y Finanzas</t>
        </is>
      </c>
      <c r="F159" s="6" t="inlineStr">
        <is>
          <t>Funcionalidad</t>
        </is>
      </c>
      <c r="G159" s="8" t="inlineStr">
        <is>
          <t>Método de pago tokenizado</t>
        </is>
      </c>
      <c r="H159" s="9" t="inlineStr">
        <is>
          <t>Imprescindible</t>
        </is>
      </c>
      <c r="I159" s="6" t="inlineStr">
        <is>
          <t>MVP</t>
        </is>
      </c>
      <c r="J159" s="6" t="n">
        <v>10</v>
      </c>
      <c r="K159" s="8" t="inlineStr">
        <is>
          <t>Dinero</t>
        </is>
      </c>
      <c r="L159" s="8" t="inlineStr">
        <is>
          <t>OB-17-001/002</t>
        </is>
      </c>
      <c r="M159" s="8" t="inlineStr"/>
      <c r="N159" s="8" t="inlineStr"/>
    </row>
    <row r="160">
      <c r="A160" s="6" t="n">
        <v>155</v>
      </c>
      <c r="B160" s="7">
        <f>IF(C160="Completo","☑",IF(C160="En progreso","◐","☐"))</f>
        <v/>
      </c>
      <c r="C160" s="6" t="inlineStr">
        <is>
          <t>Pendiente</t>
        </is>
      </c>
      <c r="D160" s="6" t="inlineStr">
        <is>
          <t>PAY-F03</t>
        </is>
      </c>
      <c r="E160" s="8" t="inlineStr">
        <is>
          <t>17 · Pagos y Finanzas</t>
        </is>
      </c>
      <c r="F160" s="6" t="inlineStr">
        <is>
          <t>Funcionalidad</t>
        </is>
      </c>
      <c r="G160" s="8" t="inlineStr">
        <is>
          <t>Depósito</t>
        </is>
      </c>
      <c r="H160" s="9" t="inlineStr">
        <is>
          <t>Imprescindible</t>
        </is>
      </c>
      <c r="I160" s="6" t="inlineStr">
        <is>
          <t>MVP</t>
        </is>
      </c>
      <c r="J160" s="6" t="n">
        <v>10</v>
      </c>
      <c r="K160" s="8" t="inlineStr">
        <is>
          <t>Dinero</t>
        </is>
      </c>
      <c r="L160" s="8" t="inlineStr">
        <is>
          <t>OB-17-003</t>
        </is>
      </c>
      <c r="M160" s="8" t="inlineStr"/>
      <c r="N160" s="8" t="inlineStr"/>
    </row>
    <row r="161">
      <c r="A161" s="6" t="n">
        <v>156</v>
      </c>
      <c r="B161" s="7">
        <f>IF(C161="Completo","☑",IF(C161="En progreso","◐","☐"))</f>
        <v/>
      </c>
      <c r="C161" s="6" t="inlineStr">
        <is>
          <t>Pendiente</t>
        </is>
      </c>
      <c r="D161" s="6" t="inlineStr">
        <is>
          <t>PAY-F04</t>
        </is>
      </c>
      <c r="E161" s="8" t="inlineStr">
        <is>
          <t>17 · Pagos y Finanzas</t>
        </is>
      </c>
      <c r="F161" s="6" t="inlineStr">
        <is>
          <t>Funcionalidad</t>
        </is>
      </c>
      <c r="G161" s="8" t="inlineStr">
        <is>
          <t>Pago completo sin doble cobro</t>
        </is>
      </c>
      <c r="H161" s="9" t="inlineStr">
        <is>
          <t>Imprescindible</t>
        </is>
      </c>
      <c r="I161" s="6" t="inlineStr">
        <is>
          <t>MVP</t>
        </is>
      </c>
      <c r="J161" s="6" t="n">
        <v>10</v>
      </c>
      <c r="K161" s="8" t="inlineStr">
        <is>
          <t>Dinero</t>
        </is>
      </c>
      <c r="L161" s="8" t="inlineStr">
        <is>
          <t>OB-17-004</t>
        </is>
      </c>
      <c r="M161" s="8" t="inlineStr"/>
      <c r="N161" s="8" t="inlineStr"/>
    </row>
    <row r="162">
      <c r="A162" s="6" t="n">
        <v>157</v>
      </c>
      <c r="B162" s="7">
        <f>IF(C162="Completo","☑",IF(C162="En progreso","◐","☐"))</f>
        <v/>
      </c>
      <c r="C162" s="6" t="inlineStr">
        <is>
          <t>Pendiente</t>
        </is>
      </c>
      <c r="D162" s="6" t="inlineStr">
        <is>
          <t>PAY-F05</t>
        </is>
      </c>
      <c r="E162" s="8" t="inlineStr">
        <is>
          <t>17 · Pagos y Finanzas</t>
        </is>
      </c>
      <c r="F162" s="6" t="inlineStr">
        <is>
          <t>Funcionalidad</t>
        </is>
      </c>
      <c r="G162" s="8" t="inlineStr">
        <is>
          <t>Webhooks firmados e idempotentes</t>
        </is>
      </c>
      <c r="H162" s="9" t="inlineStr">
        <is>
          <t>Imprescindible</t>
        </is>
      </c>
      <c r="I162" s="6" t="inlineStr">
        <is>
          <t>MVP</t>
        </is>
      </c>
      <c r="J162" s="6" t="n">
        <v>10</v>
      </c>
      <c r="K162" s="8" t="inlineStr">
        <is>
          <t>Dinero</t>
        </is>
      </c>
      <c r="L162" s="8" t="inlineStr">
        <is>
          <t>OB-17-004</t>
        </is>
      </c>
      <c r="M162" s="8" t="inlineStr"/>
      <c r="N162" s="8" t="inlineStr"/>
    </row>
    <row r="163">
      <c r="A163" s="6" t="n">
        <v>158</v>
      </c>
      <c r="B163" s="7">
        <f>IF(C163="Completo","☑",IF(C163="En progreso","◐","☐"))</f>
        <v/>
      </c>
      <c r="C163" s="6" t="inlineStr">
        <is>
          <t>Pendiente</t>
        </is>
      </c>
      <c r="D163" s="6" t="inlineStr">
        <is>
          <t>PAY-F06</t>
        </is>
      </c>
      <c r="E163" s="8" t="inlineStr">
        <is>
          <t>17 · Pagos y Finanzas</t>
        </is>
      </c>
      <c r="F163" s="6" t="inlineStr">
        <is>
          <t>Funcionalidad</t>
        </is>
      </c>
      <c r="G163" s="8" t="inlineStr">
        <is>
          <t>Cálculo y desglose de comisión</t>
        </is>
      </c>
      <c r="H163" s="9" t="inlineStr">
        <is>
          <t>Imprescindible</t>
        </is>
      </c>
      <c r="I163" s="6" t="inlineStr">
        <is>
          <t>MVP</t>
        </is>
      </c>
      <c r="J163" s="6" t="n">
        <v>10</v>
      </c>
      <c r="K163" s="8" t="inlineStr">
        <is>
          <t>Dinero</t>
        </is>
      </c>
      <c r="L163" s="8" t="inlineStr">
        <is>
          <t>OB-17-006, OB-45-001</t>
        </is>
      </c>
      <c r="M163" s="8" t="inlineStr"/>
      <c r="N163" s="8" t="inlineStr"/>
    </row>
    <row r="164">
      <c r="A164" s="6" t="n">
        <v>159</v>
      </c>
      <c r="B164" s="7">
        <f>IF(C164="Completo","☑",IF(C164="En progreso","◐","☐"))</f>
        <v/>
      </c>
      <c r="C164" s="6" t="inlineStr">
        <is>
          <t>Pendiente</t>
        </is>
      </c>
      <c r="D164" s="6" t="inlineStr">
        <is>
          <t>PAY-F07</t>
        </is>
      </c>
      <c r="E164" s="8" t="inlineStr">
        <is>
          <t>17 · Pagos y Finanzas</t>
        </is>
      </c>
      <c r="F164" s="6" t="inlineStr">
        <is>
          <t>Funcionalidad</t>
        </is>
      </c>
      <c r="G164" s="8" t="inlineStr">
        <is>
          <t>Ledger de doble entrada</t>
        </is>
      </c>
      <c r="H164" s="9" t="inlineStr">
        <is>
          <t>Imprescindible</t>
        </is>
      </c>
      <c r="I164" s="6" t="inlineStr">
        <is>
          <t>MVP</t>
        </is>
      </c>
      <c r="J164" s="6" t="n">
        <v>10</v>
      </c>
      <c r="K164" s="8" t="inlineStr">
        <is>
          <t>Dinero</t>
        </is>
      </c>
      <c r="L164" s="8" t="inlineStr">
        <is>
          <t>OB-45-001</t>
        </is>
      </c>
      <c r="M164" s="8" t="inlineStr"/>
      <c r="N164" s="8" t="inlineStr"/>
    </row>
    <row r="165">
      <c r="A165" s="6" t="n">
        <v>160</v>
      </c>
      <c r="B165" s="7">
        <f>IF(C165="Completo","☑",IF(C165="En progreso","◐","☐"))</f>
        <v/>
      </c>
      <c r="C165" s="6" t="inlineStr">
        <is>
          <t>Pendiente</t>
        </is>
      </c>
      <c r="D165" s="6" t="inlineStr">
        <is>
          <t>MON-M01</t>
        </is>
      </c>
      <c r="E165" s="8" t="inlineStr">
        <is>
          <t>18 · Monetización y Publicidad</t>
        </is>
      </c>
      <c r="F165" s="6" t="inlineStr">
        <is>
          <t>Mantenimiento</t>
        </is>
      </c>
      <c r="G165" s="8" t="inlineStr">
        <is>
          <t>Planes para profesionales/negocios (Gratis/Pro/Business)</t>
        </is>
      </c>
      <c r="H165" s="9" t="inlineStr">
        <is>
          <t>Imprescindible</t>
        </is>
      </c>
      <c r="I165" s="6" t="inlineStr">
        <is>
          <t>MVP</t>
        </is>
      </c>
      <c r="J165" s="6" t="n">
        <v>10</v>
      </c>
      <c r="K165" s="8" t="inlineStr">
        <is>
          <t>Dinero</t>
        </is>
      </c>
      <c r="L165" s="8" t="inlineStr">
        <is>
          <t>§3.2</t>
        </is>
      </c>
      <c r="M165" s="8" t="inlineStr"/>
      <c r="N165" s="8" t="inlineStr"/>
    </row>
    <row r="166">
      <c r="A166" s="6" t="n">
        <v>161</v>
      </c>
      <c r="B166" s="7">
        <f>IF(C166="Completo","☑",IF(C166="En progreso","◐","☐"))</f>
        <v/>
      </c>
      <c r="C166" s="6" t="inlineStr">
        <is>
          <t>Pendiente</t>
        </is>
      </c>
      <c r="D166" s="6" t="inlineStr">
        <is>
          <t>MON-M02</t>
        </is>
      </c>
      <c r="E166" s="8" t="inlineStr">
        <is>
          <t>18 · Monetización y Publicidad</t>
        </is>
      </c>
      <c r="F166" s="6" t="inlineStr">
        <is>
          <t>Mantenimiento</t>
        </is>
      </c>
      <c r="G166" s="8" t="inlineStr">
        <is>
          <t>Comisión por plan</t>
        </is>
      </c>
      <c r="H166" s="9" t="inlineStr">
        <is>
          <t>Imprescindible</t>
        </is>
      </c>
      <c r="I166" s="6" t="inlineStr">
        <is>
          <t>MVP</t>
        </is>
      </c>
      <c r="J166" s="6" t="n">
        <v>10</v>
      </c>
      <c r="K166" s="8" t="inlineStr">
        <is>
          <t>Dinero</t>
        </is>
      </c>
      <c r="L166" s="8" t="inlineStr">
        <is>
          <t>OB-17-006</t>
        </is>
      </c>
      <c r="M166" s="8" t="inlineStr"/>
      <c r="N166" s="8" t="inlineStr"/>
    </row>
    <row r="167">
      <c r="A167" s="6" t="n">
        <v>162</v>
      </c>
      <c r="B167" s="7">
        <f>IF(C167="Completo","☑",IF(C167="En progreso","◐","☐"))</f>
        <v/>
      </c>
      <c r="C167" s="6" t="inlineStr">
        <is>
          <t>Pendiente</t>
        </is>
      </c>
      <c r="D167" s="6" t="inlineStr">
        <is>
          <t>MON-M03</t>
        </is>
      </c>
      <c r="E167" s="8" t="inlineStr">
        <is>
          <t>18 · Monetización y Publicidad</t>
        </is>
      </c>
      <c r="F167" s="6" t="inlineStr">
        <is>
          <t>Mantenimiento</t>
        </is>
      </c>
      <c r="G167" s="8" t="inlineStr">
        <is>
          <t>Datos fiscales de Owney y secuencias NCF/e-CF</t>
        </is>
      </c>
      <c r="H167" s="9" t="inlineStr">
        <is>
          <t>Imprescindible</t>
        </is>
      </c>
      <c r="I167" s="6" t="inlineStr">
        <is>
          <t>MVP</t>
        </is>
      </c>
      <c r="J167" s="6" t="n">
        <v>10</v>
      </c>
      <c r="K167" s="8" t="inlineStr">
        <is>
          <t>Dinero</t>
        </is>
      </c>
      <c r="L167" s="8" t="inlineStr">
        <is>
          <t>DGII</t>
        </is>
      </c>
      <c r="M167" s="8" t="inlineStr"/>
      <c r="N167" s="8" t="inlineStr"/>
    </row>
    <row r="168">
      <c r="A168" s="6" t="n">
        <v>163</v>
      </c>
      <c r="B168" s="7">
        <f>IF(C168="Completo","☑",IF(C168="En progreso","◐","☐"))</f>
        <v/>
      </c>
      <c r="C168" s="6" t="inlineStr">
        <is>
          <t>Pendiente</t>
        </is>
      </c>
      <c r="D168" s="6" t="inlineStr">
        <is>
          <t>MON-F01</t>
        </is>
      </c>
      <c r="E168" s="8" t="inlineStr">
        <is>
          <t>18 · Monetización y Publicidad</t>
        </is>
      </c>
      <c r="F168" s="6" t="inlineStr">
        <is>
          <t>Funcionalidad</t>
        </is>
      </c>
      <c r="G168" s="8" t="inlineStr">
        <is>
          <t>Plan gratuito por defecto y límites por plan</t>
        </is>
      </c>
      <c r="H168" s="9" t="inlineStr">
        <is>
          <t>Imprescindible</t>
        </is>
      </c>
      <c r="I168" s="6" t="inlineStr">
        <is>
          <t>MVP</t>
        </is>
      </c>
      <c r="J168" s="6" t="n">
        <v>10</v>
      </c>
      <c r="K168" s="8" t="inlineStr">
        <is>
          <t>Dinero</t>
        </is>
      </c>
      <c r="L168" s="8" t="inlineStr">
        <is>
          <t>§3.2</t>
        </is>
      </c>
      <c r="M168" s="8" t="inlineStr"/>
      <c r="N168" s="8" t="inlineStr"/>
    </row>
    <row r="169">
      <c r="A169" s="6" t="n">
        <v>164</v>
      </c>
      <c r="B169" s="7">
        <f>IF(C169="Completo","☑",IF(C169="En progreso","◐","☐"))</f>
        <v/>
      </c>
      <c r="C169" s="6" t="inlineStr">
        <is>
          <t>Pendiente</t>
        </is>
      </c>
      <c r="D169" s="6" t="inlineStr">
        <is>
          <t>LEG-F03</t>
        </is>
      </c>
      <c r="E169" s="8" t="inlineStr">
        <is>
          <t>LEG · Cumplimiento Legal y Fiscal</t>
        </is>
      </c>
      <c r="F169" s="6" t="inlineStr">
        <is>
          <t>Funcionalidad</t>
        </is>
      </c>
      <c r="G169" s="8" t="inlineStr">
        <is>
          <t>Contrato con proveedor de pagos y modelo de fondos</t>
        </is>
      </c>
      <c r="H169" s="9" t="inlineStr">
        <is>
          <t>Imprescindible</t>
        </is>
      </c>
      <c r="I169" s="6" t="inlineStr">
        <is>
          <t>MVP</t>
        </is>
      </c>
      <c r="J169" s="6" t="n">
        <v>10</v>
      </c>
      <c r="K169" s="8" t="inlineStr">
        <is>
          <t>Áreas transversales</t>
        </is>
      </c>
      <c r="L169" s="8" t="inlineStr">
        <is>
          <t>§13.3</t>
        </is>
      </c>
      <c r="M169" s="8" t="inlineStr"/>
      <c r="N169" s="8" t="inlineStr"/>
    </row>
    <row r="170">
      <c r="A170" s="6" t="n">
        <v>165</v>
      </c>
      <c r="B170" s="7">
        <f>IF(C170="Completo","☑",IF(C170="En progreso","◐","☐"))</f>
        <v/>
      </c>
      <c r="C170" s="6" t="inlineStr">
        <is>
          <t>Pendiente</t>
        </is>
      </c>
      <c r="D170" s="6" t="inlineStr">
        <is>
          <t>LEG-F04</t>
        </is>
      </c>
      <c r="E170" s="8" t="inlineStr">
        <is>
          <t>LEG · Cumplimiento Legal y Fiscal</t>
        </is>
      </c>
      <c r="F170" s="6" t="inlineStr">
        <is>
          <t>Funcionalidad</t>
        </is>
      </c>
      <c r="G170" s="8" t="inlineStr">
        <is>
          <t>Relación fiscal con profesionales independientes</t>
        </is>
      </c>
      <c r="H170" s="9" t="inlineStr">
        <is>
          <t>Imprescindible</t>
        </is>
      </c>
      <c r="I170" s="6" t="inlineStr">
        <is>
          <t>MVP</t>
        </is>
      </c>
      <c r="J170" s="6" t="n">
        <v>10</v>
      </c>
      <c r="K170" s="8" t="inlineStr">
        <is>
          <t>Áreas transversales</t>
        </is>
      </c>
      <c r="L170" s="8" t="inlineStr">
        <is>
          <t>—</t>
        </is>
      </c>
      <c r="M170" s="8" t="inlineStr"/>
      <c r="N170" s="8" t="inlineStr"/>
    </row>
    <row r="171">
      <c r="A171" s="10" t="n">
        <v>166</v>
      </c>
      <c r="B171" s="11">
        <f>IF(C171="Completo","☑",IF(C171="En progreso","◐","☐"))</f>
        <v/>
      </c>
      <c r="C171" s="10" t="inlineStr">
        <is>
          <t>Pendiente</t>
        </is>
      </c>
      <c r="D171" s="10" t="inlineStr">
        <is>
          <t>NTF-F04</t>
        </is>
      </c>
      <c r="E171" s="12" t="inlineStr">
        <is>
          <t>07 · Notificaciones</t>
        </is>
      </c>
      <c r="F171" s="10" t="inlineStr">
        <is>
          <t>Funcionalidad</t>
        </is>
      </c>
      <c r="G171" s="12" t="inlineStr">
        <is>
          <t>Reserva confirmada</t>
        </is>
      </c>
      <c r="H171" s="13" t="inlineStr">
        <is>
          <t>Imprescindible</t>
        </is>
      </c>
      <c r="I171" s="10" t="inlineStr">
        <is>
          <t>MVP</t>
        </is>
      </c>
      <c r="J171" s="10" t="n">
        <v>11</v>
      </c>
      <c r="K171" s="12" t="inlineStr">
        <is>
          <t>Red social</t>
        </is>
      </c>
      <c r="L171" s="12" t="inlineStr">
        <is>
          <t>OB-21-001</t>
        </is>
      </c>
      <c r="M171" s="12" t="inlineStr"/>
      <c r="N171" s="12" t="inlineStr"/>
    </row>
    <row r="172">
      <c r="A172" s="10" t="n">
        <v>167</v>
      </c>
      <c r="B172" s="11">
        <f>IF(C172="Completo","☑",IF(C172="En progreso","◐","☐"))</f>
        <v/>
      </c>
      <c r="C172" s="10" t="inlineStr">
        <is>
          <t>Pendiente</t>
        </is>
      </c>
      <c r="D172" s="10" t="inlineStr">
        <is>
          <t>NTF-F05</t>
        </is>
      </c>
      <c r="E172" s="12" t="inlineStr">
        <is>
          <t>07 · Notificaciones</t>
        </is>
      </c>
      <c r="F172" s="10" t="inlineStr">
        <is>
          <t>Funcionalidad</t>
        </is>
      </c>
      <c r="G172" s="12" t="inlineStr">
        <is>
          <t>Recordatorio 24 horas antes</t>
        </is>
      </c>
      <c r="H172" s="13" t="inlineStr">
        <is>
          <t>Imprescindible</t>
        </is>
      </c>
      <c r="I172" s="10" t="inlineStr">
        <is>
          <t>MVP</t>
        </is>
      </c>
      <c r="J172" s="10" t="n">
        <v>11</v>
      </c>
      <c r="K172" s="12" t="inlineStr">
        <is>
          <t>Red social</t>
        </is>
      </c>
      <c r="L172" s="12" t="inlineStr">
        <is>
          <t>OB-21-002</t>
        </is>
      </c>
      <c r="M172" s="12" t="inlineStr"/>
      <c r="N172" s="12" t="inlineStr"/>
    </row>
    <row r="173">
      <c r="A173" s="10" t="n">
        <v>168</v>
      </c>
      <c r="B173" s="11">
        <f>IF(C173="Completo","☑",IF(C173="En progreso","◐","☐"))</f>
        <v/>
      </c>
      <c r="C173" s="10" t="inlineStr">
        <is>
          <t>Pendiente</t>
        </is>
      </c>
      <c r="D173" s="10" t="inlineStr">
        <is>
          <t>NTF-F06</t>
        </is>
      </c>
      <c r="E173" s="12" t="inlineStr">
        <is>
          <t>07 · Notificaciones</t>
        </is>
      </c>
      <c r="F173" s="10" t="inlineStr">
        <is>
          <t>Funcionalidad</t>
        </is>
      </c>
      <c r="G173" s="12" t="inlineStr">
        <is>
          <t>Cancelación</t>
        </is>
      </c>
      <c r="H173" s="13" t="inlineStr">
        <is>
          <t>Imprescindible</t>
        </is>
      </c>
      <c r="I173" s="10" t="inlineStr">
        <is>
          <t>MVP</t>
        </is>
      </c>
      <c r="J173" s="10" t="n">
        <v>11</v>
      </c>
      <c r="K173" s="12" t="inlineStr">
        <is>
          <t>Red social</t>
        </is>
      </c>
      <c r="L173" s="12" t="inlineStr">
        <is>
          <t>OB-21-006</t>
        </is>
      </c>
      <c r="M173" s="12" t="inlineStr"/>
      <c r="N173" s="12" t="inlineStr"/>
    </row>
    <row r="174">
      <c r="A174" s="10" t="n">
        <v>169</v>
      </c>
      <c r="B174" s="11">
        <f>IF(C174="Completo","☑",IF(C174="En progreso","◐","☐"))</f>
        <v/>
      </c>
      <c r="C174" s="10" t="inlineStr">
        <is>
          <t>Pendiente</t>
        </is>
      </c>
      <c r="D174" s="10" t="inlineStr">
        <is>
          <t>NTF-F07</t>
        </is>
      </c>
      <c r="E174" s="12" t="inlineStr">
        <is>
          <t>07 · Notificaciones</t>
        </is>
      </c>
      <c r="F174" s="10" t="inlineStr">
        <is>
          <t>Funcionalidad</t>
        </is>
      </c>
      <c r="G174" s="12" t="inlineStr">
        <is>
          <t>Pago</t>
        </is>
      </c>
      <c r="H174" s="13" t="inlineStr">
        <is>
          <t>Imprescindible</t>
        </is>
      </c>
      <c r="I174" s="10" t="inlineStr">
        <is>
          <t>MVP</t>
        </is>
      </c>
      <c r="J174" s="10" t="n">
        <v>11</v>
      </c>
      <c r="K174" s="12" t="inlineStr">
        <is>
          <t>Red social</t>
        </is>
      </c>
      <c r="L174" s="12" t="inlineStr">
        <is>
          <t>OB-21-007</t>
        </is>
      </c>
      <c r="M174" s="12" t="inlineStr"/>
      <c r="N174" s="12" t="inlineStr"/>
    </row>
    <row r="175">
      <c r="A175" s="10" t="n">
        <v>170</v>
      </c>
      <c r="B175" s="11">
        <f>IF(C175="Completo","☑",IF(C175="En progreso","◐","☐"))</f>
        <v/>
      </c>
      <c r="C175" s="10" t="inlineStr">
        <is>
          <t>Pendiente</t>
        </is>
      </c>
      <c r="D175" s="10" t="inlineStr">
        <is>
          <t>BKG-M04</t>
        </is>
      </c>
      <c r="E175" s="12" t="inlineStr">
        <is>
          <t>13 · Reservas</t>
        </is>
      </c>
      <c r="F175" s="10" t="inlineStr">
        <is>
          <t>Mantenimiento</t>
        </is>
      </c>
      <c r="G175" s="12" t="inlineStr">
        <is>
          <t>Parámetros de auto-completado y no-show</t>
        </is>
      </c>
      <c r="H175" s="13" t="inlineStr">
        <is>
          <t>Imprescindible</t>
        </is>
      </c>
      <c r="I175" s="10" t="inlineStr">
        <is>
          <t>MVP</t>
        </is>
      </c>
      <c r="J175" s="10" t="n">
        <v>11</v>
      </c>
      <c r="K175" s="12" t="inlineStr">
        <is>
          <t>Marketplace</t>
        </is>
      </c>
      <c r="L175" s="12" t="inlineStr">
        <is>
          <t>§19</t>
        </is>
      </c>
      <c r="M175" s="12" t="inlineStr"/>
      <c r="N175" s="12" t="inlineStr"/>
    </row>
    <row r="176">
      <c r="A176" s="10" t="n">
        <v>171</v>
      </c>
      <c r="B176" s="11">
        <f>IF(C176="Completo","☑",IF(C176="En progreso","◐","☐"))</f>
        <v/>
      </c>
      <c r="C176" s="10" t="inlineStr">
        <is>
          <t>Pendiente</t>
        </is>
      </c>
      <c r="D176" s="10" t="inlineStr">
        <is>
          <t>BKG-F09</t>
        </is>
      </c>
      <c r="E176" s="12" t="inlineStr">
        <is>
          <t>13 · Reservas</t>
        </is>
      </c>
      <c r="F176" s="10" t="inlineStr">
        <is>
          <t>Funcionalidad</t>
        </is>
      </c>
      <c r="G176" s="12" t="inlineStr">
        <is>
          <t>Ciclo: preparando → en camino → llegó → en curso → completado</t>
        </is>
      </c>
      <c r="H176" s="13" t="inlineStr">
        <is>
          <t>Imprescindible</t>
        </is>
      </c>
      <c r="I176" s="10" t="inlineStr">
        <is>
          <t>MVP</t>
        </is>
      </c>
      <c r="J176" s="10" t="n">
        <v>11</v>
      </c>
      <c r="K176" s="12" t="inlineStr">
        <is>
          <t>Marketplace</t>
        </is>
      </c>
      <c r="L176" s="12" t="inlineStr">
        <is>
          <t>OB-16</t>
        </is>
      </c>
      <c r="M176" s="12" t="inlineStr"/>
      <c r="N176" s="12" t="inlineStr"/>
    </row>
    <row r="177">
      <c r="A177" s="10" t="n">
        <v>172</v>
      </c>
      <c r="B177" s="11">
        <f>IF(C177="Completo","☑",IF(C177="En progreso","◐","☐"))</f>
        <v/>
      </c>
      <c r="C177" s="10" t="inlineStr">
        <is>
          <t>Pendiente</t>
        </is>
      </c>
      <c r="D177" s="10" t="inlineStr">
        <is>
          <t>BKG-F10</t>
        </is>
      </c>
      <c r="E177" s="12" t="inlineStr">
        <is>
          <t>13 · Reservas</t>
        </is>
      </c>
      <c r="F177" s="10" t="inlineStr">
        <is>
          <t>Funcionalidad</t>
        </is>
      </c>
      <c r="G177" s="12" t="inlineStr">
        <is>
          <t>Inicio con PIN</t>
        </is>
      </c>
      <c r="H177" s="13" t="inlineStr">
        <is>
          <t>Imprescindible</t>
        </is>
      </c>
      <c r="I177" s="10" t="inlineStr">
        <is>
          <t>MVP</t>
        </is>
      </c>
      <c r="J177" s="10" t="n">
        <v>11</v>
      </c>
      <c r="K177" s="12" t="inlineStr">
        <is>
          <t>Marketplace</t>
        </is>
      </c>
      <c r="L177" s="12" t="inlineStr">
        <is>
          <t>OB-16-001</t>
        </is>
      </c>
      <c r="M177" s="12" t="inlineStr"/>
      <c r="N177" s="12" t="inlineStr"/>
    </row>
    <row r="178">
      <c r="A178" s="10" t="n">
        <v>173</v>
      </c>
      <c r="B178" s="11">
        <f>IF(C178="Completo","☑",IF(C178="En progreso","◐","☐"))</f>
        <v/>
      </c>
      <c r="C178" s="10" t="inlineStr">
        <is>
          <t>Pendiente</t>
        </is>
      </c>
      <c r="D178" s="10" t="inlineStr">
        <is>
          <t>BKG-F11</t>
        </is>
      </c>
      <c r="E178" s="12" t="inlineStr">
        <is>
          <t>13 · Reservas</t>
        </is>
      </c>
      <c r="F178" s="10" t="inlineStr">
        <is>
          <t>Funcionalidad</t>
        </is>
      </c>
      <c r="G178" s="12" t="inlineStr">
        <is>
          <t>Finalizar y confirmar servicio</t>
        </is>
      </c>
      <c r="H178" s="13" t="inlineStr">
        <is>
          <t>Imprescindible</t>
        </is>
      </c>
      <c r="I178" s="10" t="inlineStr">
        <is>
          <t>MVP</t>
        </is>
      </c>
      <c r="J178" s="10" t="n">
        <v>11</v>
      </c>
      <c r="K178" s="12" t="inlineStr">
        <is>
          <t>Marketplace</t>
        </is>
      </c>
      <c r="L178" s="12" t="inlineStr">
        <is>
          <t>OB-16-002</t>
        </is>
      </c>
      <c r="M178" s="12" t="inlineStr"/>
      <c r="N178" s="12" t="inlineStr"/>
    </row>
    <row r="179">
      <c r="A179" s="10" t="n">
        <v>174</v>
      </c>
      <c r="B179" s="11">
        <f>IF(C179="Completo","☑",IF(C179="En progreso","◐","☐"))</f>
        <v/>
      </c>
      <c r="C179" s="10" t="inlineStr">
        <is>
          <t>Pendiente</t>
        </is>
      </c>
      <c r="D179" s="10" t="inlineStr">
        <is>
          <t>BKG-F12</t>
        </is>
      </c>
      <c r="E179" s="12" t="inlineStr">
        <is>
          <t>13 · Reservas</t>
        </is>
      </c>
      <c r="F179" s="10" t="inlineStr">
        <is>
          <t>Funcionalidad</t>
        </is>
      </c>
      <c r="G179" s="12" t="inlineStr">
        <is>
          <t>Marcar no-show</t>
        </is>
      </c>
      <c r="H179" s="13" t="inlineStr">
        <is>
          <t>Imprescindible</t>
        </is>
      </c>
      <c r="I179" s="10" t="inlineStr">
        <is>
          <t>MVP</t>
        </is>
      </c>
      <c r="J179" s="10" t="n">
        <v>11</v>
      </c>
      <c r="K179" s="12" t="inlineStr">
        <is>
          <t>Marketplace</t>
        </is>
      </c>
      <c r="L179" s="12" t="inlineStr">
        <is>
          <t>§19</t>
        </is>
      </c>
      <c r="M179" s="12" t="inlineStr"/>
      <c r="N179" s="12" t="inlineStr"/>
    </row>
    <row r="180">
      <c r="A180" s="10" t="n">
        <v>175</v>
      </c>
      <c r="B180" s="11">
        <f>IF(C180="Completo","☑",IF(C180="En progreso","◐","☐"))</f>
        <v/>
      </c>
      <c r="C180" s="10" t="inlineStr">
        <is>
          <t>Pendiente</t>
        </is>
      </c>
      <c r="D180" s="10" t="inlineStr">
        <is>
          <t>HOM-F05</t>
        </is>
      </c>
      <c r="E180" s="12" t="inlineStr">
        <is>
          <t>14 · Servicio a Domicilio</t>
        </is>
      </c>
      <c r="F180" s="10" t="inlineStr">
        <is>
          <t>Funcionalidad</t>
        </is>
      </c>
      <c r="G180" s="12" t="inlineStr">
        <is>
          <t>Marcar “en camino”</t>
        </is>
      </c>
      <c r="H180" s="13" t="inlineStr">
        <is>
          <t>Imprescindible</t>
        </is>
      </c>
      <c r="I180" s="10" t="inlineStr">
        <is>
          <t>MVP</t>
        </is>
      </c>
      <c r="J180" s="10" t="n">
        <v>11</v>
      </c>
      <c r="K180" s="12" t="inlineStr">
        <is>
          <t>Marketplace</t>
        </is>
      </c>
      <c r="L180" s="12" t="inlineStr">
        <is>
          <t>OB-15-001</t>
        </is>
      </c>
      <c r="M180" s="12" t="inlineStr"/>
      <c r="N180" s="12" t="inlineStr"/>
    </row>
    <row r="181">
      <c r="A181" s="10" t="n">
        <v>176</v>
      </c>
      <c r="B181" s="11">
        <f>IF(C181="Completo","☑",IF(C181="En progreso","◐","☐"))</f>
        <v/>
      </c>
      <c r="C181" s="10" t="inlineStr">
        <is>
          <t>Pendiente</t>
        </is>
      </c>
      <c r="D181" s="10" t="inlineStr">
        <is>
          <t>HOM-F06</t>
        </is>
      </c>
      <c r="E181" s="12" t="inlineStr">
        <is>
          <t>14 · Servicio a Domicilio</t>
        </is>
      </c>
      <c r="F181" s="10" t="inlineStr">
        <is>
          <t>Funcionalidad</t>
        </is>
      </c>
      <c r="G181" s="12" t="inlineStr">
        <is>
          <t>Marcar llegada</t>
        </is>
      </c>
      <c r="H181" s="13" t="inlineStr">
        <is>
          <t>Imprescindible</t>
        </is>
      </c>
      <c r="I181" s="10" t="inlineStr">
        <is>
          <t>MVP</t>
        </is>
      </c>
      <c r="J181" s="10" t="n">
        <v>11</v>
      </c>
      <c r="K181" s="12" t="inlineStr">
        <is>
          <t>Marketplace</t>
        </is>
      </c>
      <c r="L181" s="12" t="inlineStr">
        <is>
          <t>OB-15-004</t>
        </is>
      </c>
      <c r="M181" s="12" t="inlineStr"/>
      <c r="N181" s="12" t="inlineStr"/>
    </row>
    <row r="182">
      <c r="A182" s="10" t="n">
        <v>177</v>
      </c>
      <c r="B182" s="11">
        <f>IF(C182="Completo","☑",IF(C182="En progreso","◐","☐"))</f>
        <v/>
      </c>
      <c r="C182" s="10" t="inlineStr">
        <is>
          <t>Pendiente</t>
        </is>
      </c>
      <c r="D182" s="10" t="inlineStr">
        <is>
          <t>REP-M01</t>
        </is>
      </c>
      <c r="E182" s="12" t="inlineStr">
        <is>
          <t>15 · Reseñas y Reputación</t>
        </is>
      </c>
      <c r="F182" s="10" t="inlineStr">
        <is>
          <t>Mantenimiento</t>
        </is>
      </c>
      <c r="G182" s="12" t="inlineStr">
        <is>
          <t>Política de edición/retiro de reseñas</t>
        </is>
      </c>
      <c r="H182" s="13" t="inlineStr">
        <is>
          <t>Imprescindible</t>
        </is>
      </c>
      <c r="I182" s="10" t="inlineStr">
        <is>
          <t>MVP</t>
        </is>
      </c>
      <c r="J182" s="10" t="n">
        <v>11</v>
      </c>
      <c r="K182" s="12" t="inlineStr">
        <is>
          <t>Marketplace</t>
        </is>
      </c>
      <c r="L182" s="12" t="inlineStr">
        <is>
          <t>OB-22-001</t>
        </is>
      </c>
      <c r="M182" s="12" t="inlineStr"/>
      <c r="N182" s="12" t="inlineStr"/>
    </row>
    <row r="183">
      <c r="A183" s="10" t="n">
        <v>178</v>
      </c>
      <c r="B183" s="11">
        <f>IF(C183="Completo","☑",IF(C183="En progreso","◐","☐"))</f>
        <v/>
      </c>
      <c r="C183" s="10" t="inlineStr">
        <is>
          <t>Pendiente</t>
        </is>
      </c>
      <c r="D183" s="10" t="inlineStr">
        <is>
          <t>REP-F01</t>
        </is>
      </c>
      <c r="E183" s="12" t="inlineStr">
        <is>
          <t>15 · Reseñas y Reputación</t>
        </is>
      </c>
      <c r="F183" s="10" t="inlineStr">
        <is>
          <t>Funcionalidad</t>
        </is>
      </c>
      <c r="G183" s="12" t="inlineStr">
        <is>
          <t>Reseña verificada</t>
        </is>
      </c>
      <c r="H183" s="13" t="inlineStr">
        <is>
          <t>Imprescindible</t>
        </is>
      </c>
      <c r="I183" s="10" t="inlineStr">
        <is>
          <t>MVP</t>
        </is>
      </c>
      <c r="J183" s="10" t="n">
        <v>11</v>
      </c>
      <c r="K183" s="12" t="inlineStr">
        <is>
          <t>Marketplace</t>
        </is>
      </c>
      <c r="L183" s="12" t="inlineStr">
        <is>
          <t>OB-22-001</t>
        </is>
      </c>
      <c r="M183" s="12" t="inlineStr"/>
      <c r="N183" s="12" t="inlineStr"/>
    </row>
    <row r="184">
      <c r="A184" s="10" t="n">
        <v>179</v>
      </c>
      <c r="B184" s="11">
        <f>IF(C184="Completo","☑",IF(C184="En progreso","◐","☐"))</f>
        <v/>
      </c>
      <c r="C184" s="10" t="inlineStr">
        <is>
          <t>Pendiente</t>
        </is>
      </c>
      <c r="D184" s="10" t="inlineStr">
        <is>
          <t>REP-F02</t>
        </is>
      </c>
      <c r="E184" s="12" t="inlineStr">
        <is>
          <t>15 · Reseñas y Reputación</t>
        </is>
      </c>
      <c r="F184" s="10" t="inlineStr">
        <is>
          <t>Funcionalidad</t>
        </is>
      </c>
      <c r="G184" s="12" t="inlineStr">
        <is>
          <t>Comentario de reseña moderado</t>
        </is>
      </c>
      <c r="H184" s="13" t="inlineStr">
        <is>
          <t>Imprescindible</t>
        </is>
      </c>
      <c r="I184" s="10" t="inlineStr">
        <is>
          <t>MVP</t>
        </is>
      </c>
      <c r="J184" s="10" t="n">
        <v>11</v>
      </c>
      <c r="K184" s="12" t="inlineStr">
        <is>
          <t>Marketplace</t>
        </is>
      </c>
      <c r="L184" s="12" t="inlineStr">
        <is>
          <t>OB-22-003</t>
        </is>
      </c>
      <c r="M184" s="12" t="inlineStr"/>
      <c r="N184" s="12" t="inlineStr"/>
    </row>
    <row r="185">
      <c r="A185" s="10" t="n">
        <v>180</v>
      </c>
      <c r="B185" s="11">
        <f>IF(C185="Completo","☑",IF(C185="En progreso","◐","☐"))</f>
        <v/>
      </c>
      <c r="C185" s="10" t="inlineStr">
        <is>
          <t>Pendiente</t>
        </is>
      </c>
      <c r="D185" s="10" t="inlineStr">
        <is>
          <t>REP-F03</t>
        </is>
      </c>
      <c r="E185" s="12" t="inlineStr">
        <is>
          <t>15 · Reseñas y Reputación</t>
        </is>
      </c>
      <c r="F185" s="10" t="inlineStr">
        <is>
          <t>Funcionalidad</t>
        </is>
      </c>
      <c r="G185" s="12" t="inlineStr">
        <is>
          <t>Rating agregado</t>
        </is>
      </c>
      <c r="H185" s="13" t="inlineStr">
        <is>
          <t>Imprescindible</t>
        </is>
      </c>
      <c r="I185" s="10" t="inlineStr">
        <is>
          <t>MVP</t>
        </is>
      </c>
      <c r="J185" s="10" t="n">
        <v>11</v>
      </c>
      <c r="K185" s="12" t="inlineStr">
        <is>
          <t>Marketplace</t>
        </is>
      </c>
      <c r="L185" s="12" t="inlineStr">
        <is>
          <t>OB-22-005</t>
        </is>
      </c>
      <c r="M185" s="12" t="inlineStr"/>
      <c r="N185" s="12" t="inlineStr"/>
    </row>
    <row r="186">
      <c r="A186" s="10" t="n">
        <v>181</v>
      </c>
      <c r="B186" s="11">
        <f>IF(C186="Completo","☑",IF(C186="En progreso","◐","☐"))</f>
        <v/>
      </c>
      <c r="C186" s="10" t="inlineStr">
        <is>
          <t>Pendiente</t>
        </is>
      </c>
      <c r="D186" s="10" t="inlineStr">
        <is>
          <t>PAY-F08</t>
        </is>
      </c>
      <c r="E186" s="12" t="inlineStr">
        <is>
          <t>17 · Pagos y Finanzas</t>
        </is>
      </c>
      <c r="F186" s="10" t="inlineStr">
        <is>
          <t>Funcionalidad</t>
        </is>
      </c>
      <c r="G186" s="12" t="inlineStr">
        <is>
          <t>Recibo</t>
        </is>
      </c>
      <c r="H186" s="13" t="inlineStr">
        <is>
          <t>Imprescindible</t>
        </is>
      </c>
      <c r="I186" s="10" t="inlineStr">
        <is>
          <t>MVP</t>
        </is>
      </c>
      <c r="J186" s="10" t="n">
        <v>11</v>
      </c>
      <c r="K186" s="12" t="inlineStr">
        <is>
          <t>Dinero</t>
        </is>
      </c>
      <c r="L186" s="12" t="inlineStr">
        <is>
          <t>OB-17-008</t>
        </is>
      </c>
      <c r="M186" s="12" t="inlineStr"/>
      <c r="N186" s="12" t="inlineStr"/>
    </row>
    <row r="187">
      <c r="A187" s="10" t="n">
        <v>182</v>
      </c>
      <c r="B187" s="11">
        <f>IF(C187="Completo","☑",IF(C187="En progreso","◐","☐"))</f>
        <v/>
      </c>
      <c r="C187" s="10" t="inlineStr">
        <is>
          <t>Pendiente</t>
        </is>
      </c>
      <c r="D187" s="10" t="inlineStr">
        <is>
          <t>MON-F02</t>
        </is>
      </c>
      <c r="E187" s="12" t="inlineStr">
        <is>
          <t>18 · Monetización y Publicidad</t>
        </is>
      </c>
      <c r="F187" s="10" t="inlineStr">
        <is>
          <t>Funcionalidad</t>
        </is>
      </c>
      <c r="G187" s="12" t="inlineStr">
        <is>
          <t>Facturar la comisión al profesional</t>
        </is>
      </c>
      <c r="H187" s="13" t="inlineStr">
        <is>
          <t>Imprescindible</t>
        </is>
      </c>
      <c r="I187" s="10" t="inlineStr">
        <is>
          <t>MVP</t>
        </is>
      </c>
      <c r="J187" s="10" t="n">
        <v>11</v>
      </c>
      <c r="K187" s="12" t="inlineStr">
        <is>
          <t>Dinero</t>
        </is>
      </c>
      <c r="L187" s="12" t="inlineStr">
        <is>
          <t>OB-17-006, OB-45-001</t>
        </is>
      </c>
      <c r="M187" s="12" t="inlineStr"/>
      <c r="N187" s="12" t="inlineStr"/>
    </row>
    <row r="188">
      <c r="A188" s="10" t="n">
        <v>183</v>
      </c>
      <c r="B188" s="11">
        <f>IF(C188="Completo","☑",IF(C188="En progreso","◐","☐"))</f>
        <v/>
      </c>
      <c r="C188" s="10" t="inlineStr">
        <is>
          <t>Pendiente</t>
        </is>
      </c>
      <c r="D188" s="10" t="inlineStr">
        <is>
          <t>MON-F03</t>
        </is>
      </c>
      <c r="E188" s="12" t="inlineStr">
        <is>
          <t>18 · Monetización y Publicidad</t>
        </is>
      </c>
      <c r="F188" s="10" t="inlineStr">
        <is>
          <t>Funcionalidad</t>
        </is>
      </c>
      <c r="G188" s="12" t="inlineStr">
        <is>
          <t>Emitir e-CF con proveedor certificado DGII</t>
        </is>
      </c>
      <c r="H188" s="13" t="inlineStr">
        <is>
          <t>Imprescindible</t>
        </is>
      </c>
      <c r="I188" s="10" t="inlineStr">
        <is>
          <t>MVP</t>
        </is>
      </c>
      <c r="J188" s="10" t="n">
        <v>11</v>
      </c>
      <c r="K188" s="12" t="inlineStr">
        <is>
          <t>Dinero</t>
        </is>
      </c>
      <c r="L188" s="12" t="inlineStr">
        <is>
          <t>DGII</t>
        </is>
      </c>
      <c r="M188" s="12" t="inlineStr"/>
      <c r="N188" s="12" t="inlineStr"/>
    </row>
    <row r="189">
      <c r="A189" s="6" t="n">
        <v>184</v>
      </c>
      <c r="B189" s="7">
        <f>IF(C189="Completo","☑",IF(C189="En progreso","◐","☐"))</f>
        <v/>
      </c>
      <c r="C189" s="6" t="inlineStr">
        <is>
          <t>Pendiente</t>
        </is>
      </c>
      <c r="D189" s="6" t="inlineStr">
        <is>
          <t>PLT-F17</t>
        </is>
      </c>
      <c r="E189" s="8" t="inlineStr">
        <is>
          <t>00 · Plataforma y Shared Kernel</t>
        </is>
      </c>
      <c r="F189" s="6" t="inlineStr">
        <is>
          <t>Funcionalidad</t>
        </is>
      </c>
      <c r="G189" s="8" t="inlineStr">
        <is>
          <t>Canal en tiempo real (SignalR + backplane Redis)</t>
        </is>
      </c>
      <c r="H189" s="9" t="inlineStr">
        <is>
          <t>Imprescindible</t>
        </is>
      </c>
      <c r="I189" s="6" t="inlineStr">
        <is>
          <t>MVP</t>
        </is>
      </c>
      <c r="J189" s="6" t="n">
        <v>12</v>
      </c>
      <c r="K189" s="8" t="inlineStr">
        <is>
          <t>Base</t>
        </is>
      </c>
      <c r="L189" s="8" t="inlineStr">
        <is>
          <t>TECH-04-001</t>
        </is>
      </c>
      <c r="M189" s="8" t="inlineStr"/>
      <c r="N189" s="8" t="inlineStr"/>
    </row>
    <row r="190">
      <c r="A190" s="6" t="n">
        <v>185</v>
      </c>
      <c r="B190" s="7">
        <f>IF(C190="Completo","☑",IF(C190="En progreso","◐","☐"))</f>
        <v/>
      </c>
      <c r="C190" s="6" t="inlineStr">
        <is>
          <t>Pendiente</t>
        </is>
      </c>
      <c r="D190" s="6" t="inlineStr">
        <is>
          <t>FED-F04</t>
        </is>
      </c>
      <c r="E190" s="8" t="inlineStr">
        <is>
          <t>05 · Feed, Explorar y Búsqueda</t>
        </is>
      </c>
      <c r="F190" s="6" t="inlineStr">
        <is>
          <t>Funcionalidad</t>
        </is>
      </c>
      <c r="G190" s="8" t="inlineStr">
        <is>
          <t>Read model de profesionales (perfil, servicios, rating, zona)</t>
        </is>
      </c>
      <c r="H190" s="9" t="inlineStr">
        <is>
          <t>Imprescindible</t>
        </is>
      </c>
      <c r="I190" s="6" t="inlineStr">
        <is>
          <t>MVP</t>
        </is>
      </c>
      <c r="J190" s="6" t="n">
        <v>12</v>
      </c>
      <c r="K190" s="8" t="inlineStr">
        <is>
          <t>Red social</t>
        </is>
      </c>
      <c r="L190" s="8" t="inlineStr">
        <is>
          <t>TECH-06-002</t>
        </is>
      </c>
      <c r="M190" s="8" t="inlineStr"/>
      <c r="N190" s="8" t="inlineStr"/>
    </row>
    <row r="191">
      <c r="A191" s="6" t="n">
        <v>186</v>
      </c>
      <c r="B191" s="7">
        <f>IF(C191="Completo","☑",IF(C191="En progreso","◐","☐"))</f>
        <v/>
      </c>
      <c r="C191" s="6" t="inlineStr">
        <is>
          <t>Pendiente</t>
        </is>
      </c>
      <c r="D191" s="6" t="inlineStr">
        <is>
          <t>FED-F05</t>
        </is>
      </c>
      <c r="E191" s="8" t="inlineStr">
        <is>
          <t>05 · Feed, Explorar y Búsqueda</t>
        </is>
      </c>
      <c r="F191" s="6" t="inlineStr">
        <is>
          <t>Funcionalidad</t>
        </is>
      </c>
      <c r="G191" s="8" t="inlineStr">
        <is>
          <t>Buscar profesionales/servicios con filtros y orden</t>
        </is>
      </c>
      <c r="H191" s="9" t="inlineStr">
        <is>
          <t>Imprescindible</t>
        </is>
      </c>
      <c r="I191" s="6" t="inlineStr">
        <is>
          <t>MVP</t>
        </is>
      </c>
      <c r="J191" s="6" t="n">
        <v>12</v>
      </c>
      <c r="K191" s="8" t="inlineStr">
        <is>
          <t>Red social</t>
        </is>
      </c>
      <c r="L191" s="8" t="inlineStr">
        <is>
          <t>OB-09-001..003</t>
        </is>
      </c>
      <c r="M191" s="8" t="inlineStr"/>
      <c r="N191" s="8" t="inlineStr"/>
    </row>
    <row r="192">
      <c r="A192" s="6" t="n">
        <v>187</v>
      </c>
      <c r="B192" s="7">
        <f>IF(C192="Completo","☑",IF(C192="En progreso","◐","☐"))</f>
        <v/>
      </c>
      <c r="C192" s="6" t="inlineStr">
        <is>
          <t>Pendiente</t>
        </is>
      </c>
      <c r="D192" s="6" t="inlineStr">
        <is>
          <t>FED-F06</t>
        </is>
      </c>
      <c r="E192" s="8" t="inlineStr">
        <is>
          <t>05 · Feed, Explorar y Búsqueda</t>
        </is>
      </c>
      <c r="F192" s="6" t="inlineStr">
        <is>
          <t>Funcionalidad</t>
        </is>
      </c>
      <c r="G192" s="8" t="inlineStr">
        <is>
          <t>Búsqueda geográfica y mapa (ubicación aproximada)</t>
        </is>
      </c>
      <c r="H192" s="9" t="inlineStr">
        <is>
          <t>Imprescindible</t>
        </is>
      </c>
      <c r="I192" s="6" t="inlineStr">
        <is>
          <t>MVP</t>
        </is>
      </c>
      <c r="J192" s="6" t="n">
        <v>12</v>
      </c>
      <c r="K192" s="8" t="inlineStr">
        <is>
          <t>Red social</t>
        </is>
      </c>
      <c r="L192" s="8" t="inlineStr">
        <is>
          <t>OB-09-004</t>
        </is>
      </c>
      <c r="M192" s="8" t="inlineStr"/>
      <c r="N192" s="8" t="inlineStr"/>
    </row>
    <row r="193">
      <c r="A193" s="6" t="n">
        <v>188</v>
      </c>
      <c r="B193" s="7">
        <f>IF(C193="Completo","☑",IF(C193="En progreso","◐","☐"))</f>
        <v/>
      </c>
      <c r="C193" s="6" t="inlineStr">
        <is>
          <t>Pendiente</t>
        </is>
      </c>
      <c r="D193" s="6" t="inlineStr">
        <is>
          <t>FED-F07</t>
        </is>
      </c>
      <c r="E193" s="8" t="inlineStr">
        <is>
          <t>05 · Feed, Explorar y Búsqueda</t>
        </is>
      </c>
      <c r="F193" s="6" t="inlineStr">
        <is>
          <t>Funcionalidad</t>
        </is>
      </c>
      <c r="G193" s="8" t="inlineStr">
        <is>
          <t>Filtro de disponibilidad real</t>
        </is>
      </c>
      <c r="H193" s="9" t="inlineStr">
        <is>
          <t>Imprescindible</t>
        </is>
      </c>
      <c r="I193" s="6" t="inlineStr">
        <is>
          <t>MVP</t>
        </is>
      </c>
      <c r="J193" s="6" t="n">
        <v>12</v>
      </c>
      <c r="K193" s="8" t="inlineStr">
        <is>
          <t>Red social</t>
        </is>
      </c>
      <c r="L193" s="8" t="inlineStr">
        <is>
          <t>OB-09-002</t>
        </is>
      </c>
      <c r="M193" s="8" t="inlineStr"/>
      <c r="N193" s="8" t="inlineStr"/>
    </row>
    <row r="194">
      <c r="A194" s="6" t="n">
        <v>189</v>
      </c>
      <c r="B194" s="7">
        <f>IF(C194="Completo","☑",IF(C194="En progreso","◐","☐"))</f>
        <v/>
      </c>
      <c r="C194" s="6" t="inlineStr">
        <is>
          <t>Pendiente</t>
        </is>
      </c>
      <c r="D194" s="6" t="inlineStr">
        <is>
          <t>MSG-M01</t>
        </is>
      </c>
      <c r="E194" s="8" t="inlineStr">
        <is>
          <t>06 · Mensajería</t>
        </is>
      </c>
      <c r="F194" s="6" t="inlineStr">
        <is>
          <t>Mantenimiento</t>
        </is>
      </c>
      <c r="G194" s="8" t="inlineStr">
        <is>
          <t>Retención y políticas de chat</t>
        </is>
      </c>
      <c r="H194" s="9" t="inlineStr">
        <is>
          <t>Imprescindible</t>
        </is>
      </c>
      <c r="I194" s="6" t="inlineStr">
        <is>
          <t>MVP</t>
        </is>
      </c>
      <c r="J194" s="6" t="n">
        <v>12</v>
      </c>
      <c r="K194" s="8" t="inlineStr">
        <is>
          <t>Red social</t>
        </is>
      </c>
      <c r="L194" s="8" t="inlineStr">
        <is>
          <t>OB-20-001</t>
        </is>
      </c>
      <c r="M194" s="8" t="inlineStr"/>
      <c r="N194" s="8" t="inlineStr"/>
    </row>
    <row r="195">
      <c r="A195" s="6" t="n">
        <v>190</v>
      </c>
      <c r="B195" s="7">
        <f>IF(C195="Completo","☑",IF(C195="En progreso","◐","☐"))</f>
        <v/>
      </c>
      <c r="C195" s="6" t="inlineStr">
        <is>
          <t>Pendiente</t>
        </is>
      </c>
      <c r="D195" s="6" t="inlineStr">
        <is>
          <t>MSG-M02</t>
        </is>
      </c>
      <c r="E195" s="8" t="inlineStr">
        <is>
          <t>06 · Mensajería</t>
        </is>
      </c>
      <c r="F195" s="6" t="inlineStr">
        <is>
          <t>Mantenimiento</t>
        </is>
      </c>
      <c r="G195" s="8" t="inlineStr">
        <is>
          <t>Quién puede escribirme (todos / seguidos)</t>
        </is>
      </c>
      <c r="H195" s="9" t="inlineStr">
        <is>
          <t>Imprescindible</t>
        </is>
      </c>
      <c r="I195" s="6" t="inlineStr">
        <is>
          <t>MVP</t>
        </is>
      </c>
      <c r="J195" s="6" t="n">
        <v>12</v>
      </c>
      <c r="K195" s="8" t="inlineStr">
        <is>
          <t>Red social</t>
        </is>
      </c>
      <c r="L195" s="8" t="inlineStr">
        <is>
          <t>—</t>
        </is>
      </c>
      <c r="M195" s="8" t="inlineStr"/>
      <c r="N195" s="8" t="inlineStr"/>
    </row>
    <row r="196">
      <c r="A196" s="6" t="n">
        <v>191</v>
      </c>
      <c r="B196" s="7">
        <f>IF(C196="Completo","☑",IF(C196="En progreso","◐","☐"))</f>
        <v/>
      </c>
      <c r="C196" s="6" t="inlineStr">
        <is>
          <t>Pendiente</t>
        </is>
      </c>
      <c r="D196" s="6" t="inlineStr">
        <is>
          <t>MSG-F01</t>
        </is>
      </c>
      <c r="E196" s="8" t="inlineStr">
        <is>
          <t>06 · Mensajería</t>
        </is>
      </c>
      <c r="F196" s="6" t="inlineStr">
        <is>
          <t>Funcionalidad</t>
        </is>
      </c>
      <c r="G196" s="8" t="inlineStr">
        <is>
          <t>Mensajes directos con solicitudes para no seguidos</t>
        </is>
      </c>
      <c r="H196" s="9" t="inlineStr">
        <is>
          <t>Imprescindible</t>
        </is>
      </c>
      <c r="I196" s="6" t="inlineStr">
        <is>
          <t>MVP</t>
        </is>
      </c>
      <c r="J196" s="6" t="n">
        <v>12</v>
      </c>
      <c r="K196" s="8" t="inlineStr">
        <is>
          <t>Red social</t>
        </is>
      </c>
      <c r="L196" s="8" t="inlineStr">
        <is>
          <t>—</t>
        </is>
      </c>
      <c r="M196" s="8" t="inlineStr"/>
      <c r="N196" s="8" t="inlineStr"/>
    </row>
    <row r="197">
      <c r="A197" s="6" t="n">
        <v>192</v>
      </c>
      <c r="B197" s="7">
        <f>IF(C197="Completo","☑",IF(C197="En progreso","◐","☐"))</f>
        <v/>
      </c>
      <c r="C197" s="6" t="inlineStr">
        <is>
          <t>Pendiente</t>
        </is>
      </c>
      <c r="D197" s="6" t="inlineStr">
        <is>
          <t>MSG-F02</t>
        </is>
      </c>
      <c r="E197" s="8" t="inlineStr">
        <is>
          <t>06 · Mensajería</t>
        </is>
      </c>
      <c r="F197" s="6" t="inlineStr">
        <is>
          <t>Funcionalidad</t>
        </is>
      </c>
      <c r="G197" s="8" t="inlineStr">
        <is>
          <t>Chat vinculado a reserva (solo participantes)</t>
        </is>
      </c>
      <c r="H197" s="9" t="inlineStr">
        <is>
          <t>Imprescindible</t>
        </is>
      </c>
      <c r="I197" s="6" t="inlineStr">
        <is>
          <t>MVP</t>
        </is>
      </c>
      <c r="J197" s="6" t="n">
        <v>12</v>
      </c>
      <c r="K197" s="8" t="inlineStr">
        <is>
          <t>Red social</t>
        </is>
      </c>
      <c r="L197" s="8" t="inlineStr">
        <is>
          <t>OB-20-001</t>
        </is>
      </c>
      <c r="M197" s="8" t="inlineStr"/>
      <c r="N197" s="8" t="inlineStr"/>
    </row>
    <row r="198">
      <c r="A198" s="6" t="n">
        <v>193</v>
      </c>
      <c r="B198" s="7">
        <f>IF(C198="Completo","☑",IF(C198="En progreso","◐","☐"))</f>
        <v/>
      </c>
      <c r="C198" s="6" t="inlineStr">
        <is>
          <t>Pendiente</t>
        </is>
      </c>
      <c r="D198" s="6" t="inlineStr">
        <is>
          <t>MSG-F03</t>
        </is>
      </c>
      <c r="E198" s="8" t="inlineStr">
        <is>
          <t>06 · Mensajería</t>
        </is>
      </c>
      <c r="F198" s="6" t="inlineStr">
        <is>
          <t>Funcionalidad</t>
        </is>
      </c>
      <c r="G198" s="8" t="inlineStr">
        <is>
          <t>Mensajes en tiempo real</t>
        </is>
      </c>
      <c r="H198" s="9" t="inlineStr">
        <is>
          <t>Imprescindible</t>
        </is>
      </c>
      <c r="I198" s="6" t="inlineStr">
        <is>
          <t>MVP</t>
        </is>
      </c>
      <c r="J198" s="6" t="n">
        <v>12</v>
      </c>
      <c r="K198" s="8" t="inlineStr">
        <is>
          <t>Red social</t>
        </is>
      </c>
      <c r="L198" s="8" t="inlineStr">
        <is>
          <t>OB-20-002</t>
        </is>
      </c>
      <c r="M198" s="8" t="inlineStr"/>
      <c r="N198" s="8" t="inlineStr"/>
    </row>
    <row r="199">
      <c r="A199" s="6" t="n">
        <v>194</v>
      </c>
      <c r="B199" s="7">
        <f>IF(C199="Completo","☑",IF(C199="En progreso","◐","☐"))</f>
        <v/>
      </c>
      <c r="C199" s="6" t="inlineStr">
        <is>
          <t>Pendiente</t>
        </is>
      </c>
      <c r="D199" s="6" t="inlineStr">
        <is>
          <t>MSG-F04</t>
        </is>
      </c>
      <c r="E199" s="8" t="inlineStr">
        <is>
          <t>06 · Mensajería</t>
        </is>
      </c>
      <c r="F199" s="6" t="inlineStr">
        <is>
          <t>Funcionalidad</t>
        </is>
      </c>
      <c r="G199" s="8" t="inlineStr">
        <is>
          <t>Enviar fotos y compartir publicaciones</t>
        </is>
      </c>
      <c r="H199" s="9" t="inlineStr">
        <is>
          <t>Imprescindible</t>
        </is>
      </c>
      <c r="I199" s="6" t="inlineStr">
        <is>
          <t>MVP</t>
        </is>
      </c>
      <c r="J199" s="6" t="n">
        <v>12</v>
      </c>
      <c r="K199" s="8" t="inlineStr">
        <is>
          <t>Red social</t>
        </is>
      </c>
      <c r="L199" s="8" t="inlineStr">
        <is>
          <t>OB-20-003</t>
        </is>
      </c>
      <c r="M199" s="8" t="inlineStr"/>
      <c r="N199" s="8" t="inlineStr"/>
    </row>
    <row r="200">
      <c r="A200" s="6" t="n">
        <v>195</v>
      </c>
      <c r="B200" s="7">
        <f>IF(C200="Completo","☑",IF(C200="En progreso","◐","☐"))</f>
        <v/>
      </c>
      <c r="C200" s="6" t="inlineStr">
        <is>
          <t>Pendiente</t>
        </is>
      </c>
      <c r="D200" s="6" t="inlineStr">
        <is>
          <t>MSG-F05</t>
        </is>
      </c>
      <c r="E200" s="8" t="inlineStr">
        <is>
          <t>06 · Mensajería</t>
        </is>
      </c>
      <c r="F200" s="6" t="inlineStr">
        <is>
          <t>Funcionalidad</t>
        </is>
      </c>
      <c r="G200" s="8" t="inlineStr">
        <is>
          <t>Mensajes de sistema (confirmación, llegada…)</t>
        </is>
      </c>
      <c r="H200" s="9" t="inlineStr">
        <is>
          <t>Imprescindible</t>
        </is>
      </c>
      <c r="I200" s="6" t="inlineStr">
        <is>
          <t>MVP</t>
        </is>
      </c>
      <c r="J200" s="6" t="n">
        <v>12</v>
      </c>
      <c r="K200" s="8" t="inlineStr">
        <is>
          <t>Red social</t>
        </is>
      </c>
      <c r="L200" s="8" t="inlineStr">
        <is>
          <t>OB-20-004</t>
        </is>
      </c>
      <c r="M200" s="8" t="inlineStr"/>
      <c r="N200" s="8" t="inlineStr"/>
    </row>
    <row r="201">
      <c r="A201" s="6" t="n">
        <v>196</v>
      </c>
      <c r="B201" s="7">
        <f>IF(C201="Completo","☑",IF(C201="En progreso","◐","☐"))</f>
        <v/>
      </c>
      <c r="C201" s="6" t="inlineStr">
        <is>
          <t>Pendiente</t>
        </is>
      </c>
      <c r="D201" s="6" t="inlineStr">
        <is>
          <t>MSG-F06</t>
        </is>
      </c>
      <c r="E201" s="8" t="inlineStr">
        <is>
          <t>06 · Mensajería</t>
        </is>
      </c>
      <c r="F201" s="6" t="inlineStr">
        <is>
          <t>Funcionalidad</t>
        </is>
      </c>
      <c r="G201" s="8" t="inlineStr">
        <is>
          <t>Reportar conversación</t>
        </is>
      </c>
      <c r="H201" s="9" t="inlineStr">
        <is>
          <t>Imprescindible</t>
        </is>
      </c>
      <c r="I201" s="6" t="inlineStr">
        <is>
          <t>MVP</t>
        </is>
      </c>
      <c r="J201" s="6" t="n">
        <v>12</v>
      </c>
      <c r="K201" s="8" t="inlineStr">
        <is>
          <t>Red social</t>
        </is>
      </c>
      <c r="L201" s="8" t="inlineStr">
        <is>
          <t>OB-20-006</t>
        </is>
      </c>
      <c r="M201" s="8" t="inlineStr"/>
      <c r="N201" s="8" t="inlineStr"/>
    </row>
    <row r="202">
      <c r="A202" s="6" t="n">
        <v>197</v>
      </c>
      <c r="B202" s="7">
        <f>IF(C202="Completo","☑",IF(C202="En progreso","◐","☐"))</f>
        <v/>
      </c>
      <c r="C202" s="6" t="inlineStr">
        <is>
          <t>Pendiente</t>
        </is>
      </c>
      <c r="D202" s="6" t="inlineStr">
        <is>
          <t>NTF-F08</t>
        </is>
      </c>
      <c r="E202" s="8" t="inlineStr">
        <is>
          <t>07 · Notificaciones</t>
        </is>
      </c>
      <c r="F202" s="6" t="inlineStr">
        <is>
          <t>Funcionalidad</t>
        </is>
      </c>
      <c r="G202" s="8" t="inlineStr">
        <is>
          <t>Nuevo mensaje</t>
        </is>
      </c>
      <c r="H202" s="9" t="inlineStr">
        <is>
          <t>Imprescindible</t>
        </is>
      </c>
      <c r="I202" s="6" t="inlineStr">
        <is>
          <t>MVP</t>
        </is>
      </c>
      <c r="J202" s="6" t="n">
        <v>12</v>
      </c>
      <c r="K202" s="8" t="inlineStr">
        <is>
          <t>Red social</t>
        </is>
      </c>
      <c r="L202" s="8" t="inlineStr">
        <is>
          <t>OB-21-005</t>
        </is>
      </c>
      <c r="M202" s="8" t="inlineStr"/>
      <c r="N202" s="8" t="inlineStr"/>
    </row>
    <row r="203">
      <c r="A203" s="6" t="n">
        <v>198</v>
      </c>
      <c r="B203" s="7">
        <f>IF(C203="Completo","☑",IF(C203="En progreso","◐","☐"))</f>
        <v/>
      </c>
      <c r="C203" s="6" t="inlineStr">
        <is>
          <t>Pendiente</t>
        </is>
      </c>
      <c r="D203" s="6" t="inlineStr">
        <is>
          <t>MON-F04</t>
        </is>
      </c>
      <c r="E203" s="8" t="inlineStr">
        <is>
          <t>18 · Monetización y Publicidad</t>
        </is>
      </c>
      <c r="F203" s="6" t="inlineStr">
        <is>
          <t>Funcionalidad</t>
        </is>
      </c>
      <c r="G203" s="8" t="inlineStr">
        <is>
          <t>Reporte de ingresos (GMV, take rate, MRR)</t>
        </is>
      </c>
      <c r="H203" s="9" t="inlineStr">
        <is>
          <t>Imprescindible</t>
        </is>
      </c>
      <c r="I203" s="6" t="inlineStr">
        <is>
          <t>MVP</t>
        </is>
      </c>
      <c r="J203" s="6" t="n">
        <v>12</v>
      </c>
      <c r="K203" s="8" t="inlineStr">
        <is>
          <t>Dinero</t>
        </is>
      </c>
      <c r="L203" s="8" t="inlineStr">
        <is>
          <t>§19</t>
        </is>
      </c>
      <c r="M203" s="8" t="inlineStr"/>
      <c r="N203" s="8" t="inlineStr"/>
    </row>
    <row r="204">
      <c r="A204" s="6" t="n">
        <v>199</v>
      </c>
      <c r="B204" s="7">
        <f>IF(C204="Completo","☑",IF(C204="En progreso","◐","☐"))</f>
        <v/>
      </c>
      <c r="C204" s="6" t="inlineStr">
        <is>
          <t>Pendiente</t>
        </is>
      </c>
      <c r="D204" s="6" t="inlineStr">
        <is>
          <t>ANA-M01</t>
        </is>
      </c>
      <c r="E204" s="8" t="inlineStr">
        <is>
          <t>22 · Analítica</t>
        </is>
      </c>
      <c r="F204" s="6" t="inlineStr">
        <is>
          <t>Mantenimiento</t>
        </is>
      </c>
      <c r="G204" s="8" t="inlineStr">
        <is>
          <t>Diccionario de métricas</t>
        </is>
      </c>
      <c r="H204" s="9" t="inlineStr">
        <is>
          <t>Imprescindible</t>
        </is>
      </c>
      <c r="I204" s="6" t="inlineStr">
        <is>
          <t>MVP</t>
        </is>
      </c>
      <c r="J204" s="6" t="n">
        <v>12</v>
      </c>
      <c r="K204" s="8" t="inlineStr">
        <is>
          <t>Crecimiento</t>
        </is>
      </c>
      <c r="L204" s="8" t="inlineStr">
        <is>
          <t>PROD-01-002</t>
        </is>
      </c>
      <c r="M204" s="8" t="inlineStr"/>
      <c r="N204" s="8" t="inlineStr"/>
    </row>
    <row r="205">
      <c r="A205" s="6" t="n">
        <v>200</v>
      </c>
      <c r="B205" s="7">
        <f>IF(C205="Completo","☑",IF(C205="En progreso","◐","☐"))</f>
        <v/>
      </c>
      <c r="C205" s="6" t="inlineStr">
        <is>
          <t>Pendiente</t>
        </is>
      </c>
      <c r="D205" s="6" t="inlineStr">
        <is>
          <t>ANA-F01</t>
        </is>
      </c>
      <c r="E205" s="8" t="inlineStr">
        <is>
          <t>22 · Analítica</t>
        </is>
      </c>
      <c r="F205" s="6" t="inlineStr">
        <is>
          <t>Funcionalidad</t>
        </is>
      </c>
      <c r="G205" s="8" t="inlineStr">
        <is>
          <t>Eventos analíticos críticos</t>
        </is>
      </c>
      <c r="H205" s="9" t="inlineStr">
        <is>
          <t>Imprescindible</t>
        </is>
      </c>
      <c r="I205" s="6" t="inlineStr">
        <is>
          <t>MVP</t>
        </is>
      </c>
      <c r="J205" s="6" t="n">
        <v>12</v>
      </c>
      <c r="K205" s="8" t="inlineStr">
        <is>
          <t>Crecimiento</t>
        </is>
      </c>
      <c r="L205" s="8" t="inlineStr">
        <is>
          <t>PROD-01-002</t>
        </is>
      </c>
      <c r="M205" s="8" t="inlineStr"/>
      <c r="N205" s="8" t="inlineStr"/>
    </row>
    <row r="206">
      <c r="A206" s="6" t="n">
        <v>201</v>
      </c>
      <c r="B206" s="7">
        <f>IF(C206="Completo","☑",IF(C206="En progreso","◐","☐"))</f>
        <v/>
      </c>
      <c r="C206" s="6" t="inlineStr">
        <is>
          <t>Pendiente</t>
        </is>
      </c>
      <c r="D206" s="6" t="inlineStr">
        <is>
          <t>ANA-F02</t>
        </is>
      </c>
      <c r="E206" s="8" t="inlineStr">
        <is>
          <t>22 · Analítica</t>
        </is>
      </c>
      <c r="F206" s="6" t="inlineStr">
        <is>
          <t>Funcionalidad</t>
        </is>
      </c>
      <c r="G206" s="8" t="inlineStr">
        <is>
          <t>Resumen básico del profesional</t>
        </is>
      </c>
      <c r="H206" s="9" t="inlineStr">
        <is>
          <t>Imprescindible</t>
        </is>
      </c>
      <c r="I206" s="6" t="inlineStr">
        <is>
          <t>MVP</t>
        </is>
      </c>
      <c r="J206" s="6" t="n">
        <v>12</v>
      </c>
      <c r="K206" s="8" t="inlineStr">
        <is>
          <t>Crecimiento</t>
        </is>
      </c>
      <c r="L206" s="8" t="inlineStr">
        <is>
          <t>§5</t>
        </is>
      </c>
      <c r="M206" s="8" t="inlineStr"/>
      <c r="N206" s="8" t="inlineStr"/>
    </row>
    <row r="207">
      <c r="A207" s="10" t="n">
        <v>202</v>
      </c>
      <c r="B207" s="11">
        <f>IF(C207="Completo","☑",IF(C207="En progreso","◐","☐"))</f>
        <v/>
      </c>
      <c r="C207" s="10" t="inlineStr">
        <is>
          <t>Pendiente</t>
        </is>
      </c>
      <c r="D207" s="10" t="inlineStr">
        <is>
          <t>PLT-F18</t>
        </is>
      </c>
      <c r="E207" s="12" t="inlineStr">
        <is>
          <t>00 · Plataforma y Shared Kernel</t>
        </is>
      </c>
      <c r="F207" s="10" t="inlineStr">
        <is>
          <t>Funcionalidad</t>
        </is>
      </c>
      <c r="G207" s="12" t="inlineStr">
        <is>
          <t>Error tracking + alertas</t>
        </is>
      </c>
      <c r="H207" s="13" t="inlineStr">
        <is>
          <t>Imprescindible</t>
        </is>
      </c>
      <c r="I207" s="10" t="inlineStr">
        <is>
          <t>MVP</t>
        </is>
      </c>
      <c r="J207" s="10" t="n">
        <v>13</v>
      </c>
      <c r="K207" s="12" t="inlineStr">
        <is>
          <t>Base</t>
        </is>
      </c>
      <c r="L207" s="12" t="inlineStr">
        <is>
          <t>TECH-07-004/005</t>
        </is>
      </c>
      <c r="M207" s="12" t="inlineStr"/>
      <c r="N207" s="12" t="inlineStr"/>
    </row>
    <row r="208">
      <c r="A208" s="10" t="n">
        <v>203</v>
      </c>
      <c r="B208" s="11">
        <f>IF(C208="Completo","☑",IF(C208="En progreso","◐","☐"))</f>
        <v/>
      </c>
      <c r="C208" s="10" t="inlineStr">
        <is>
          <t>Pendiente</t>
        </is>
      </c>
      <c r="D208" s="10" t="inlineStr">
        <is>
          <t>ACC-F10</t>
        </is>
      </c>
      <c r="E208" s="12" t="inlineStr">
        <is>
          <t>01 · Identidad y Cuentas</t>
        </is>
      </c>
      <c r="F208" s="10" t="inlineStr">
        <is>
          <t>Funcionalidad</t>
        </is>
      </c>
      <c r="G208" s="12" t="inlineStr">
        <is>
          <t>MFA obligatorio para roles administrativos</t>
        </is>
      </c>
      <c r="H208" s="13" t="inlineStr">
        <is>
          <t>Imprescindible</t>
        </is>
      </c>
      <c r="I208" s="10" t="inlineStr">
        <is>
          <t>MVP</t>
        </is>
      </c>
      <c r="J208" s="10" t="n">
        <v>13</v>
      </c>
      <c r="K208" s="12" t="inlineStr">
        <is>
          <t>Red social</t>
        </is>
      </c>
      <c r="L208" s="12" t="inlineStr">
        <is>
          <t>OB-01-005</t>
        </is>
      </c>
      <c r="M208" s="12" t="inlineStr"/>
      <c r="N208" s="12" t="inlineStr"/>
    </row>
    <row r="209">
      <c r="A209" s="10" t="n">
        <v>204</v>
      </c>
      <c r="B209" s="11">
        <f>IF(C209="Completo","☑",IF(C209="En progreso","◐","☐"))</f>
        <v/>
      </c>
      <c r="C209" s="10" t="inlineStr">
        <is>
          <t>Pendiente</t>
        </is>
      </c>
      <c r="D209" s="10" t="inlineStr">
        <is>
          <t>MED-F05</t>
        </is>
      </c>
      <c r="E209" s="12" t="inlineStr">
        <is>
          <t>08 · Media</t>
        </is>
      </c>
      <c r="F209" s="10" t="inlineStr">
        <is>
          <t>Funcionalidad</t>
        </is>
      </c>
      <c r="G209" s="12" t="inlineStr">
        <is>
          <t>Borrado coherente con retención</t>
        </is>
      </c>
      <c r="H209" s="13" t="inlineStr">
        <is>
          <t>Imprescindible</t>
        </is>
      </c>
      <c r="I209" s="10" t="inlineStr">
        <is>
          <t>MVP</t>
        </is>
      </c>
      <c r="J209" s="10" t="n">
        <v>13</v>
      </c>
      <c r="K209" s="12" t="inlineStr">
        <is>
          <t>Soporte de la red</t>
        </is>
      </c>
      <c r="L209" s="12" t="inlineStr">
        <is>
          <t>TECH-05-002</t>
        </is>
      </c>
      <c r="M209" s="12" t="inlineStr"/>
      <c r="N209" s="12" t="inlineStr"/>
    </row>
    <row r="210">
      <c r="A210" s="10" t="n">
        <v>205</v>
      </c>
      <c r="B210" s="11">
        <f>IF(C210="Completo","☑",IF(C210="En progreso","◐","☐"))</f>
        <v/>
      </c>
      <c r="C210" s="10" t="inlineStr">
        <is>
          <t>Pendiente</t>
        </is>
      </c>
      <c r="D210" s="10" t="inlineStr">
        <is>
          <t>PAY-F09</t>
        </is>
      </c>
      <c r="E210" s="12" t="inlineStr">
        <is>
          <t>17 · Pagos y Finanzas</t>
        </is>
      </c>
      <c r="F210" s="10" t="inlineStr">
        <is>
          <t>Funcionalidad</t>
        </is>
      </c>
      <c r="G210" s="12" t="inlineStr">
        <is>
          <t>Reembolsos parcial/total</t>
        </is>
      </c>
      <c r="H210" s="13" t="inlineStr">
        <is>
          <t>Imprescindible</t>
        </is>
      </c>
      <c r="I210" s="10" t="inlineStr">
        <is>
          <t>MVP</t>
        </is>
      </c>
      <c r="J210" s="10" t="n">
        <v>13</v>
      </c>
      <c r="K210" s="12" t="inlineStr">
        <is>
          <t>Dinero</t>
        </is>
      </c>
      <c r="L210" s="12" t="inlineStr">
        <is>
          <t>OB-45-003</t>
        </is>
      </c>
      <c r="M210" s="12" t="inlineStr"/>
      <c r="N210" s="12" t="inlineStr"/>
    </row>
    <row r="211">
      <c r="A211" s="10" t="n">
        <v>206</v>
      </c>
      <c r="B211" s="11">
        <f>IF(C211="Completo","☑",IF(C211="En progreso","◐","☐"))</f>
        <v/>
      </c>
      <c r="C211" s="10" t="inlineStr">
        <is>
          <t>En progreso</t>
        </is>
      </c>
      <c r="D211" s="10" t="inlineStr">
        <is>
          <t>ADM-M02</t>
        </is>
      </c>
      <c r="E211" s="12" t="inlineStr">
        <is>
          <t>26 · Administración y Auditoría</t>
        </is>
      </c>
      <c r="F211" s="10" t="inlineStr">
        <is>
          <t>Mantenimiento</t>
        </is>
      </c>
      <c r="G211" s="12" t="inlineStr">
        <is>
          <t>Settings de plataforma (panel)</t>
        </is>
      </c>
      <c r="H211" s="13" t="inlineStr">
        <is>
          <t>Imprescindible</t>
        </is>
      </c>
      <c r="I211" s="10" t="inlineStr">
        <is>
          <t>MVP</t>
        </is>
      </c>
      <c r="J211" s="10" t="n">
        <v>13</v>
      </c>
      <c r="K211" s="12" t="inlineStr">
        <is>
          <t>Gobierno</t>
        </is>
      </c>
      <c r="L211" s="12" t="inlineStr">
        <is>
          <t>—</t>
        </is>
      </c>
      <c r="M211" s="12" t="inlineStr"/>
      <c r="N211" s="12" t="inlineStr"/>
    </row>
    <row r="212">
      <c r="A212" s="10" t="n">
        <v>207</v>
      </c>
      <c r="B212" s="11">
        <f>IF(C212="Completo","☑",IF(C212="En progreso","◐","☐"))</f>
        <v/>
      </c>
      <c r="C212" s="10" t="inlineStr">
        <is>
          <t>Pendiente</t>
        </is>
      </c>
      <c r="D212" s="10" t="inlineStr">
        <is>
          <t>ADM-F02</t>
        </is>
      </c>
      <c r="E212" s="12" t="inlineStr">
        <is>
          <t>26 · Administración y Auditoría</t>
        </is>
      </c>
      <c r="F212" s="10" t="inlineStr">
        <is>
          <t>Funcionalidad</t>
        </is>
      </c>
      <c r="G212" s="12" t="inlineStr">
        <is>
          <t>Dashboard administrativo</t>
        </is>
      </c>
      <c r="H212" s="13" t="inlineStr">
        <is>
          <t>Imprescindible</t>
        </is>
      </c>
      <c r="I212" s="10" t="inlineStr">
        <is>
          <t>MVP</t>
        </is>
      </c>
      <c r="J212" s="10" t="n">
        <v>13</v>
      </c>
      <c r="K212" s="12" t="inlineStr">
        <is>
          <t>Gobierno</t>
        </is>
      </c>
      <c r="L212" s="12" t="inlineStr">
        <is>
          <t>OB-40-001</t>
        </is>
      </c>
      <c r="M212" s="12" t="inlineStr"/>
      <c r="N212" s="12" t="inlineStr"/>
    </row>
    <row r="213">
      <c r="A213" s="10" t="n">
        <v>208</v>
      </c>
      <c r="B213" s="11">
        <f>IF(C213="Completo","☑",IF(C213="En progreso","◐","☐"))</f>
        <v/>
      </c>
      <c r="C213" s="10" t="inlineStr">
        <is>
          <t>Pendiente</t>
        </is>
      </c>
      <c r="D213" s="10" t="inlineStr">
        <is>
          <t>ADM-F03</t>
        </is>
      </c>
      <c r="E213" s="12" t="inlineStr">
        <is>
          <t>26 · Administración y Auditoría</t>
        </is>
      </c>
      <c r="F213" s="10" t="inlineStr">
        <is>
          <t>Funcionalidad</t>
        </is>
      </c>
      <c r="G213" s="12" t="inlineStr">
        <is>
          <t>Buscar usuario</t>
        </is>
      </c>
      <c r="H213" s="13" t="inlineStr">
        <is>
          <t>Imprescindible</t>
        </is>
      </c>
      <c r="I213" s="10" t="inlineStr">
        <is>
          <t>MVP</t>
        </is>
      </c>
      <c r="J213" s="10" t="n">
        <v>13</v>
      </c>
      <c r="K213" s="12" t="inlineStr">
        <is>
          <t>Gobierno</t>
        </is>
      </c>
      <c r="L213" s="12" t="inlineStr">
        <is>
          <t>OB-41-001</t>
        </is>
      </c>
      <c r="M213" s="12" t="inlineStr"/>
      <c r="N213" s="12" t="inlineStr"/>
    </row>
    <row r="214">
      <c r="A214" s="10" t="n">
        <v>209</v>
      </c>
      <c r="B214" s="11">
        <f>IF(C214="Completo","☑",IF(C214="En progreso","◐","☐"))</f>
        <v/>
      </c>
      <c r="C214" s="10" t="inlineStr">
        <is>
          <t>Pendiente</t>
        </is>
      </c>
      <c r="D214" s="10" t="inlineStr">
        <is>
          <t>ADM-F04</t>
        </is>
      </c>
      <c r="E214" s="12" t="inlineStr">
        <is>
          <t>26 · Administración y Auditoría</t>
        </is>
      </c>
      <c r="F214" s="10" t="inlineStr">
        <is>
          <t>Funcionalidad</t>
        </is>
      </c>
      <c r="G214" s="12" t="inlineStr">
        <is>
          <t>Ver cuenta (PII mínima, motivo de acceso)</t>
        </is>
      </c>
      <c r="H214" s="13" t="inlineStr">
        <is>
          <t>Imprescindible</t>
        </is>
      </c>
      <c r="I214" s="10" t="inlineStr">
        <is>
          <t>MVP</t>
        </is>
      </c>
      <c r="J214" s="10" t="n">
        <v>13</v>
      </c>
      <c r="K214" s="12" t="inlineStr">
        <is>
          <t>Gobierno</t>
        </is>
      </c>
      <c r="L214" s="12" t="inlineStr">
        <is>
          <t>OB-41-002</t>
        </is>
      </c>
      <c r="M214" s="12" t="inlineStr"/>
      <c r="N214" s="12" t="inlineStr"/>
    </row>
    <row r="215">
      <c r="A215" s="10" t="n">
        <v>210</v>
      </c>
      <c r="B215" s="11">
        <f>IF(C215="Completo","☑",IF(C215="En progreso","◐","☐"))</f>
        <v/>
      </c>
      <c r="C215" s="10" t="inlineStr">
        <is>
          <t>Pendiente</t>
        </is>
      </c>
      <c r="D215" s="10" t="inlineStr">
        <is>
          <t>ADM-F05</t>
        </is>
      </c>
      <c r="E215" s="12" t="inlineStr">
        <is>
          <t>26 · Administración y Auditoría</t>
        </is>
      </c>
      <c r="F215" s="10" t="inlineStr">
        <is>
          <t>Funcionalidad</t>
        </is>
      </c>
      <c r="G215" s="12" t="inlineStr">
        <is>
          <t>Suspender usuario</t>
        </is>
      </c>
      <c r="H215" s="13" t="inlineStr">
        <is>
          <t>Imprescindible</t>
        </is>
      </c>
      <c r="I215" s="10" t="inlineStr">
        <is>
          <t>MVP</t>
        </is>
      </c>
      <c r="J215" s="10" t="n">
        <v>13</v>
      </c>
      <c r="K215" s="12" t="inlineStr">
        <is>
          <t>Gobierno</t>
        </is>
      </c>
      <c r="L215" s="12" t="inlineStr">
        <is>
          <t>OB-41-003</t>
        </is>
      </c>
      <c r="M215" s="12" t="inlineStr"/>
      <c r="N215" s="12" t="inlineStr"/>
    </row>
    <row r="216">
      <c r="A216" s="10" t="n">
        <v>211</v>
      </c>
      <c r="B216" s="11">
        <f>IF(C216="Completo","☑",IF(C216="En progreso","◐","☐"))</f>
        <v/>
      </c>
      <c r="C216" s="10" t="inlineStr">
        <is>
          <t>Pendiente</t>
        </is>
      </c>
      <c r="D216" s="10" t="inlineStr">
        <is>
          <t>ADM-F06</t>
        </is>
      </c>
      <c r="E216" s="12" t="inlineStr">
        <is>
          <t>26 · Administración y Auditoría</t>
        </is>
      </c>
      <c r="F216" s="10" t="inlineStr">
        <is>
          <t>Funcionalidad</t>
        </is>
      </c>
      <c r="G216" s="12" t="inlineStr">
        <is>
          <t>Reactivar usuario</t>
        </is>
      </c>
      <c r="H216" s="13" t="inlineStr">
        <is>
          <t>Imprescindible</t>
        </is>
      </c>
      <c r="I216" s="10" t="inlineStr">
        <is>
          <t>MVP</t>
        </is>
      </c>
      <c r="J216" s="10" t="n">
        <v>13</v>
      </c>
      <c r="K216" s="12" t="inlineStr">
        <is>
          <t>Gobierno</t>
        </is>
      </c>
      <c r="L216" s="12" t="inlineStr">
        <is>
          <t>OB-41-004</t>
        </is>
      </c>
      <c r="M216" s="12" t="inlineStr"/>
      <c r="N216" s="12" t="inlineStr"/>
    </row>
    <row r="217">
      <c r="A217" s="10" t="n">
        <v>212</v>
      </c>
      <c r="B217" s="11">
        <f>IF(C217="Completo","☑",IF(C217="En progreso","◐","☐"))</f>
        <v/>
      </c>
      <c r="C217" s="10" t="inlineStr">
        <is>
          <t>Pendiente</t>
        </is>
      </c>
      <c r="D217" s="10" t="inlineStr">
        <is>
          <t>DEV-M04</t>
        </is>
      </c>
      <c r="E217" s="12" t="inlineStr">
        <is>
          <t>DEV · Operación, Calidad y Entrega</t>
        </is>
      </c>
      <c r="F217" s="10" t="inlineStr">
        <is>
          <t>Mantenimiento</t>
        </is>
      </c>
      <c r="G217" s="12" t="inlineStr">
        <is>
          <t>Entorno Production aislado</t>
        </is>
      </c>
      <c r="H217" s="13" t="inlineStr">
        <is>
          <t>Imprescindible</t>
        </is>
      </c>
      <c r="I217" s="10" t="inlineStr">
        <is>
          <t>MVP</t>
        </is>
      </c>
      <c r="J217" s="10" t="n">
        <v>13</v>
      </c>
      <c r="K217" s="12" t="inlineStr">
        <is>
          <t>Áreas transversales</t>
        </is>
      </c>
      <c r="L217" s="12" t="inlineStr">
        <is>
          <t>ENV-01-004</t>
        </is>
      </c>
      <c r="M217" s="12" t="inlineStr"/>
      <c r="N217" s="12" t="inlineStr"/>
    </row>
    <row r="218">
      <c r="A218" s="10" t="n">
        <v>213</v>
      </c>
      <c r="B218" s="11">
        <f>IF(C218="Completo","☑",IF(C218="En progreso","◐","☐"))</f>
        <v/>
      </c>
      <c r="C218" s="10" t="inlineStr">
        <is>
          <t>Pendiente</t>
        </is>
      </c>
      <c r="D218" s="10" t="inlineStr">
        <is>
          <t>DEV-M05</t>
        </is>
      </c>
      <c r="E218" s="12" t="inlineStr">
        <is>
          <t>DEV · Operación, Calidad y Entrega</t>
        </is>
      </c>
      <c r="F218" s="10" t="inlineStr">
        <is>
          <t>Mantenimiento</t>
        </is>
      </c>
      <c r="G218" s="12" t="inlineStr">
        <is>
          <t>Runbooks de incidentes</t>
        </is>
      </c>
      <c r="H218" s="13" t="inlineStr">
        <is>
          <t>Imprescindible</t>
        </is>
      </c>
      <c r="I218" s="10" t="inlineStr">
        <is>
          <t>MVP</t>
        </is>
      </c>
      <c r="J218" s="10" t="n">
        <v>13</v>
      </c>
      <c r="K218" s="12" t="inlineStr">
        <is>
          <t>Áreas transversales</t>
        </is>
      </c>
      <c r="L218" s="12" t="inlineStr">
        <is>
          <t>§16.2</t>
        </is>
      </c>
      <c r="M218" s="12" t="inlineStr"/>
      <c r="N218" s="12" t="inlineStr"/>
    </row>
    <row r="219">
      <c r="A219" s="10" t="n">
        <v>214</v>
      </c>
      <c r="B219" s="11">
        <f>IF(C219="Completo","☑",IF(C219="En progreso","◐","☐"))</f>
        <v/>
      </c>
      <c r="C219" s="10" t="inlineStr">
        <is>
          <t>Pendiente</t>
        </is>
      </c>
      <c r="D219" s="10" t="inlineStr">
        <is>
          <t>DEV-M06</t>
        </is>
      </c>
      <c r="E219" s="12" t="inlineStr">
        <is>
          <t>DEV · Operación, Calidad y Entrega</t>
        </is>
      </c>
      <c r="F219" s="10" t="inlineStr">
        <is>
          <t>Mantenimiento</t>
        </is>
      </c>
      <c r="G219" s="12" t="inlineStr">
        <is>
          <t>Matriz de dispositivos soportados</t>
        </is>
      </c>
      <c r="H219" s="13" t="inlineStr">
        <is>
          <t>Imprescindible</t>
        </is>
      </c>
      <c r="I219" s="10" t="inlineStr">
        <is>
          <t>MVP</t>
        </is>
      </c>
      <c r="J219" s="10" t="n">
        <v>13</v>
      </c>
      <c r="K219" s="12" t="inlineStr">
        <is>
          <t>Áreas transversales</t>
        </is>
      </c>
      <c r="L219" s="12" t="inlineStr">
        <is>
          <t>QA-02-001</t>
        </is>
      </c>
      <c r="M219" s="12" t="inlineStr"/>
      <c r="N219" s="12" t="inlineStr"/>
    </row>
    <row r="220">
      <c r="A220" s="10" t="n">
        <v>215</v>
      </c>
      <c r="B220" s="11">
        <f>IF(C220="Completo","☑",IF(C220="En progreso","◐","☐"))</f>
        <v/>
      </c>
      <c r="C220" s="10" t="inlineStr">
        <is>
          <t>Pendiente</t>
        </is>
      </c>
      <c r="D220" s="10" t="inlineStr">
        <is>
          <t>DEV-F10</t>
        </is>
      </c>
      <c r="E220" s="12" t="inlineStr">
        <is>
          <t>DEV · Operación, Calidad y Entrega</t>
        </is>
      </c>
      <c r="F220" s="10" t="inlineStr">
        <is>
          <t>Funcionalidad</t>
        </is>
      </c>
      <c r="G220" s="12" t="inlineStr">
        <is>
          <t>E2E de journeys críticos</t>
        </is>
      </c>
      <c r="H220" s="13" t="inlineStr">
        <is>
          <t>Imprescindible</t>
        </is>
      </c>
      <c r="I220" s="10" t="inlineStr">
        <is>
          <t>MVP</t>
        </is>
      </c>
      <c r="J220" s="10" t="n">
        <v>13</v>
      </c>
      <c r="K220" s="12" t="inlineStr">
        <is>
          <t>Áreas transversales</t>
        </is>
      </c>
      <c r="L220" s="12" t="inlineStr">
        <is>
          <t>QA-01-003</t>
        </is>
      </c>
      <c r="M220" s="12" t="inlineStr"/>
      <c r="N220" s="12" t="inlineStr"/>
    </row>
    <row r="221">
      <c r="A221" s="10" t="n">
        <v>216</v>
      </c>
      <c r="B221" s="11">
        <f>IF(C221="Completo","☑",IF(C221="En progreso","◐","☐"))</f>
        <v/>
      </c>
      <c r="C221" s="10" t="inlineStr">
        <is>
          <t>Pendiente</t>
        </is>
      </c>
      <c r="D221" s="10" t="inlineStr">
        <is>
          <t>DEV-F11</t>
        </is>
      </c>
      <c r="E221" s="12" t="inlineStr">
        <is>
          <t>DEV · Operación, Calidad y Entrega</t>
        </is>
      </c>
      <c r="F221" s="10" t="inlineStr">
        <is>
          <t>Funcionalidad</t>
        </is>
      </c>
      <c r="G221" s="12" t="inlineStr">
        <is>
          <t>Pruebas de seguridad y carga</t>
        </is>
      </c>
      <c r="H221" s="13" t="inlineStr">
        <is>
          <t>Imprescindible</t>
        </is>
      </c>
      <c r="I221" s="10" t="inlineStr">
        <is>
          <t>MVP</t>
        </is>
      </c>
      <c r="J221" s="10" t="n">
        <v>13</v>
      </c>
      <c r="K221" s="12" t="inlineStr">
        <is>
          <t>Áreas transversales</t>
        </is>
      </c>
      <c r="L221" s="12" t="inlineStr">
        <is>
          <t>QA-01-004</t>
        </is>
      </c>
      <c r="M221" s="12" t="inlineStr"/>
      <c r="N221" s="12" t="inlineStr"/>
    </row>
    <row r="222">
      <c r="A222" s="10" t="n">
        <v>217</v>
      </c>
      <c r="B222" s="11">
        <f>IF(C222="Completo","☑",IF(C222="En progreso","◐","☐"))</f>
        <v/>
      </c>
      <c r="C222" s="10" t="inlineStr">
        <is>
          <t>Pendiente</t>
        </is>
      </c>
      <c r="D222" s="10" t="inlineStr">
        <is>
          <t>DEV-F12</t>
        </is>
      </c>
      <c r="E222" s="12" t="inlineStr">
        <is>
          <t>DEV · Operación, Calidad y Entrega</t>
        </is>
      </c>
      <c r="F222" s="10" t="inlineStr">
        <is>
          <t>Funcionalidad</t>
        </is>
      </c>
      <c r="G222" s="12" t="inlineStr">
        <is>
          <t>Accesibilidad</t>
        </is>
      </c>
      <c r="H222" s="13" t="inlineStr">
        <is>
          <t>Imprescindible</t>
        </is>
      </c>
      <c r="I222" s="10" t="inlineStr">
        <is>
          <t>MVP</t>
        </is>
      </c>
      <c r="J222" s="10" t="n">
        <v>13</v>
      </c>
      <c r="K222" s="12" t="inlineStr">
        <is>
          <t>Áreas transversales</t>
        </is>
      </c>
      <c r="L222" s="12" t="inlineStr">
        <is>
          <t>QA-03-001</t>
        </is>
      </c>
      <c r="M222" s="12" t="inlineStr"/>
      <c r="N222" s="12" t="inlineStr"/>
    </row>
    <row r="223">
      <c r="A223" s="10" t="n">
        <v>218</v>
      </c>
      <c r="B223" s="11">
        <f>IF(C223="Completo","☑",IF(C223="En progreso","◐","☐"))</f>
        <v/>
      </c>
      <c r="C223" s="10" t="inlineStr">
        <is>
          <t>Pendiente</t>
        </is>
      </c>
      <c r="D223" s="10" t="inlineStr">
        <is>
          <t>DEV-F13</t>
        </is>
      </c>
      <c r="E223" s="12" t="inlineStr">
        <is>
          <t>DEV · Operación, Calidad y Entrega</t>
        </is>
      </c>
      <c r="F223" s="10" t="inlineStr">
        <is>
          <t>Funcionalidad</t>
        </is>
      </c>
      <c r="G223" s="12" t="inlineStr">
        <is>
          <t>Dashboards operativos y alertas</t>
        </is>
      </c>
      <c r="H223" s="13" t="inlineStr">
        <is>
          <t>Imprescindible</t>
        </is>
      </c>
      <c r="I223" s="10" t="inlineStr">
        <is>
          <t>MVP</t>
        </is>
      </c>
      <c r="J223" s="10" t="n">
        <v>13</v>
      </c>
      <c r="K223" s="12" t="inlineStr">
        <is>
          <t>Áreas transversales</t>
        </is>
      </c>
      <c r="L223" s="12" t="inlineStr">
        <is>
          <t>TECH-07-006</t>
        </is>
      </c>
      <c r="M223" s="12" t="inlineStr"/>
      <c r="N223" s="12" t="inlineStr"/>
    </row>
    <row r="224">
      <c r="A224" s="10" t="n">
        <v>219</v>
      </c>
      <c r="B224" s="11">
        <f>IF(C224="Completo","☑",IF(C224="En progreso","◐","☐"))</f>
        <v/>
      </c>
      <c r="C224" s="10" t="inlineStr">
        <is>
          <t>Pendiente</t>
        </is>
      </c>
      <c r="D224" s="10" t="inlineStr">
        <is>
          <t>DEV-F14</t>
        </is>
      </c>
      <c r="E224" s="12" t="inlineStr">
        <is>
          <t>DEV · Operación, Calidad y Entrega</t>
        </is>
      </c>
      <c r="F224" s="10" t="inlineStr">
        <is>
          <t>Funcionalidad</t>
        </is>
      </c>
      <c r="G224" s="12" t="inlineStr">
        <is>
          <t>Prueba de restauración (RTO/RPO)</t>
        </is>
      </c>
      <c r="H224" s="13" t="inlineStr">
        <is>
          <t>Imprescindible</t>
        </is>
      </c>
      <c r="I224" s="10" t="inlineStr">
        <is>
          <t>MVP</t>
        </is>
      </c>
      <c r="J224" s="10" t="n">
        <v>13</v>
      </c>
      <c r="K224" s="12" t="inlineStr">
        <is>
          <t>Áreas transversales</t>
        </is>
      </c>
      <c r="L224" s="12" t="inlineStr">
        <is>
          <t>OPS-01-002</t>
        </is>
      </c>
      <c r="M224" s="12" t="inlineStr"/>
      <c r="N224" s="12" t="inlineStr"/>
    </row>
    <row r="225">
      <c r="A225" s="10" t="n">
        <v>220</v>
      </c>
      <c r="B225" s="11">
        <f>IF(C225="Completo","☑",IF(C225="En progreso","◐","☐"))</f>
        <v/>
      </c>
      <c r="C225" s="10" t="inlineStr">
        <is>
          <t>Pendiente</t>
        </is>
      </c>
      <c r="D225" s="10" t="inlineStr">
        <is>
          <t>DEV-F15</t>
        </is>
      </c>
      <c r="E225" s="12" t="inlineStr">
        <is>
          <t>DEV · Operación, Calidad y Entrega</t>
        </is>
      </c>
      <c r="F225" s="10" t="inlineStr">
        <is>
          <t>Funcionalidad</t>
        </is>
      </c>
      <c r="G225" s="12" t="inlineStr">
        <is>
          <t>Plan de Disaster Recovery</t>
        </is>
      </c>
      <c r="H225" s="13" t="inlineStr">
        <is>
          <t>Imprescindible</t>
        </is>
      </c>
      <c r="I225" s="10" t="inlineStr">
        <is>
          <t>MVP</t>
        </is>
      </c>
      <c r="J225" s="10" t="n">
        <v>13</v>
      </c>
      <c r="K225" s="12" t="inlineStr">
        <is>
          <t>Áreas transversales</t>
        </is>
      </c>
      <c r="L225" s="12" t="inlineStr">
        <is>
          <t>OPS-01-003</t>
        </is>
      </c>
      <c r="M225" s="12" t="inlineStr"/>
      <c r="N225" s="12" t="inlineStr"/>
    </row>
    <row r="226">
      <c r="A226" s="10" t="n">
        <v>221</v>
      </c>
      <c r="B226" s="11">
        <f>IF(C226="Completo","☑",IF(C226="En progreso","◐","☐"))</f>
        <v/>
      </c>
      <c r="C226" s="10" t="inlineStr">
        <is>
          <t>Pendiente</t>
        </is>
      </c>
      <c r="D226" s="10" t="inlineStr">
        <is>
          <t>DEV-F16</t>
        </is>
      </c>
      <c r="E226" s="12" t="inlineStr">
        <is>
          <t>DEV · Operación, Calidad y Entrega</t>
        </is>
      </c>
      <c r="F226" s="10" t="inlineStr">
        <is>
          <t>Funcionalidad</t>
        </is>
      </c>
      <c r="G226" s="12" t="inlineStr">
        <is>
          <t>Publicar web (dominio, TLS, CDN)</t>
        </is>
      </c>
      <c r="H226" s="13" t="inlineStr">
        <is>
          <t>Imprescindible</t>
        </is>
      </c>
      <c r="I226" s="10" t="inlineStr">
        <is>
          <t>MVP</t>
        </is>
      </c>
      <c r="J226" s="10" t="n">
        <v>13</v>
      </c>
      <c r="K226" s="12" t="inlineStr">
        <is>
          <t>Áreas transversales</t>
        </is>
      </c>
      <c r="L226" s="12" t="inlineStr">
        <is>
          <t>RELEASE-01-001</t>
        </is>
      </c>
      <c r="M226" s="12" t="inlineStr"/>
      <c r="N226" s="12" t="inlineStr"/>
    </row>
    <row r="227">
      <c r="A227" s="10" t="n">
        <v>222</v>
      </c>
      <c r="B227" s="11">
        <f>IF(C227="Completo","☑",IF(C227="En progreso","◐","☐"))</f>
        <v/>
      </c>
      <c r="C227" s="10" t="inlineStr">
        <is>
          <t>Pendiente</t>
        </is>
      </c>
      <c r="D227" s="10" t="inlineStr">
        <is>
          <t>DEV-F17</t>
        </is>
      </c>
      <c r="E227" s="12" t="inlineStr">
        <is>
          <t>DEV · Operación, Calidad y Entrega</t>
        </is>
      </c>
      <c r="F227" s="10" t="inlineStr">
        <is>
          <t>Funcionalidad</t>
        </is>
      </c>
      <c r="G227" s="12" t="inlineStr">
        <is>
          <t>Go-live controlado</t>
        </is>
      </c>
      <c r="H227" s="13" t="inlineStr">
        <is>
          <t>Imprescindible</t>
        </is>
      </c>
      <c r="I227" s="10" t="inlineStr">
        <is>
          <t>MVP</t>
        </is>
      </c>
      <c r="J227" s="10" t="n">
        <v>13</v>
      </c>
      <c r="K227" s="12" t="inlineStr">
        <is>
          <t>Áreas transversales</t>
        </is>
      </c>
      <c r="L227" s="12" t="inlineStr">
        <is>
          <t>PROD-01-001</t>
        </is>
      </c>
      <c r="M227" s="12" t="inlineStr"/>
      <c r="N227" s="12" t="inlineStr"/>
    </row>
    <row r="228">
      <c r="A228" s="10" t="n">
        <v>223</v>
      </c>
      <c r="B228" s="11">
        <f>IF(C228="Completo","☑",IF(C228="En progreso","◐","☐"))</f>
        <v/>
      </c>
      <c r="C228" s="10" t="inlineStr">
        <is>
          <t>Pendiente</t>
        </is>
      </c>
      <c r="D228" s="10" t="inlineStr">
        <is>
          <t>DEV-F18</t>
        </is>
      </c>
      <c r="E228" s="12" t="inlineStr">
        <is>
          <t>DEV · Operación, Calidad y Entrega</t>
        </is>
      </c>
      <c r="F228" s="10" t="inlineStr">
        <is>
          <t>Funcionalidad</t>
        </is>
      </c>
      <c r="G228" s="12" t="inlineStr">
        <is>
          <t>Medición de adopción y calidad</t>
        </is>
      </c>
      <c r="H228" s="13" t="inlineStr">
        <is>
          <t>Imprescindible</t>
        </is>
      </c>
      <c r="I228" s="10" t="inlineStr">
        <is>
          <t>MVP</t>
        </is>
      </c>
      <c r="J228" s="10" t="n">
        <v>13</v>
      </c>
      <c r="K228" s="12" t="inlineStr">
        <is>
          <t>Áreas transversales</t>
        </is>
      </c>
      <c r="L228" s="12" t="inlineStr">
        <is>
          <t>PROD-01-002</t>
        </is>
      </c>
      <c r="M228" s="12" t="inlineStr"/>
      <c r="N228" s="12" t="inlineStr"/>
    </row>
    <row r="229">
      <c r="A229" s="10" t="n">
        <v>224</v>
      </c>
      <c r="B229" s="11">
        <f>IF(C229="Completo","☑",IF(C229="En progreso","◐","☐"))</f>
        <v/>
      </c>
      <c r="C229" s="10" t="inlineStr">
        <is>
          <t>Pendiente</t>
        </is>
      </c>
      <c r="D229" s="10" t="inlineStr">
        <is>
          <t>DEV-F19</t>
        </is>
      </c>
      <c r="E229" s="12" t="inlineStr">
        <is>
          <t>DEV · Operación, Calidad y Entrega</t>
        </is>
      </c>
      <c r="F229" s="10" t="inlineStr">
        <is>
          <t>Funcionalidad</t>
        </is>
      </c>
      <c r="G229" s="12" t="inlineStr">
        <is>
          <t>Hotfix y postmortem</t>
        </is>
      </c>
      <c r="H229" s="13" t="inlineStr">
        <is>
          <t>Imprescindible</t>
        </is>
      </c>
      <c r="I229" s="10" t="inlineStr">
        <is>
          <t>MVP</t>
        </is>
      </c>
      <c r="J229" s="10" t="n">
        <v>13</v>
      </c>
      <c r="K229" s="12" t="inlineStr">
        <is>
          <t>Áreas transversales</t>
        </is>
      </c>
      <c r="L229" s="12" t="inlineStr">
        <is>
          <t>PROD-01-003</t>
        </is>
      </c>
      <c r="M229" s="12" t="inlineStr"/>
      <c r="N229" s="12" t="inlineStr"/>
    </row>
    <row r="230">
      <c r="A230" s="10" t="n">
        <v>225</v>
      </c>
      <c r="B230" s="11">
        <f>IF(C230="Completo","☑",IF(C230="En progreso","◐","☐"))</f>
        <v/>
      </c>
      <c r="C230" s="10" t="inlineStr">
        <is>
          <t>Pendiente</t>
        </is>
      </c>
      <c r="D230" s="10" t="inlineStr">
        <is>
          <t>LEG-F05</t>
        </is>
      </c>
      <c r="E230" s="12" t="inlineStr">
        <is>
          <t>LEG · Cumplimiento Legal y Fiscal</t>
        </is>
      </c>
      <c r="F230" s="10" t="inlineStr">
        <is>
          <t>Funcionalidad</t>
        </is>
      </c>
      <c r="G230" s="12" t="inlineStr">
        <is>
          <t>Protección de datos personales (Ley 172-13)</t>
        </is>
      </c>
      <c r="H230" s="13" t="inlineStr">
        <is>
          <t>Imprescindible</t>
        </is>
      </c>
      <c r="I230" s="10" t="inlineStr">
        <is>
          <t>MVP</t>
        </is>
      </c>
      <c r="J230" s="10" t="n">
        <v>13</v>
      </c>
      <c r="K230" s="12" t="inlineStr">
        <is>
          <t>Áreas transversales</t>
        </is>
      </c>
      <c r="L230" s="12" t="inlineStr">
        <is>
          <t>OB-48</t>
        </is>
      </c>
      <c r="M230" s="12" t="inlineStr"/>
      <c r="N230" s="12" t="inlineStr"/>
    </row>
    <row r="231">
      <c r="A231" s="10" t="n">
        <v>226</v>
      </c>
      <c r="B231" s="11">
        <f>IF(C231="Completo","☑",IF(C231="En progreso","◐","☐"))</f>
        <v/>
      </c>
      <c r="C231" s="10" t="inlineStr">
        <is>
          <t>Pendiente</t>
        </is>
      </c>
      <c r="D231" s="10" t="inlineStr">
        <is>
          <t>LEG-F06</t>
        </is>
      </c>
      <c r="E231" s="12" t="inlineStr">
        <is>
          <t>LEG · Cumplimiento Legal y Fiscal</t>
        </is>
      </c>
      <c r="F231" s="10" t="inlineStr">
        <is>
          <t>Funcionalidad</t>
        </is>
      </c>
      <c r="G231" s="12" t="inlineStr">
        <is>
          <t>Protección al consumidor (Ley 358-05)</t>
        </is>
      </c>
      <c r="H231" s="13" t="inlineStr">
        <is>
          <t>Imprescindible</t>
        </is>
      </c>
      <c r="I231" s="10" t="inlineStr">
        <is>
          <t>MVP</t>
        </is>
      </c>
      <c r="J231" s="10" t="n">
        <v>13</v>
      </c>
      <c r="K231" s="12" t="inlineStr">
        <is>
          <t>Áreas transversales</t>
        </is>
      </c>
      <c r="L231" s="12" t="inlineStr">
        <is>
          <t>OB-12-006</t>
        </is>
      </c>
      <c r="M231" s="12" t="inlineStr"/>
      <c r="N231" s="12" t="inlineStr"/>
    </row>
    <row r="232">
      <c r="A232" s="6" t="n">
        <v>227</v>
      </c>
      <c r="B232" s="7">
        <f>IF(C232="Completo","☑",IF(C232="En progreso","◐","☐"))</f>
        <v/>
      </c>
      <c r="C232" s="6" t="inlineStr">
        <is>
          <t>Pendiente</t>
        </is>
      </c>
      <c r="D232" s="6" t="inlineStr">
        <is>
          <t>ACC-M06</t>
        </is>
      </c>
      <c r="E232" s="8" t="inlineStr">
        <is>
          <t>01 · Identidad y Cuentas</t>
        </is>
      </c>
      <c r="F232" s="6" t="inlineStr">
        <is>
          <t>Mantenimiento</t>
        </is>
      </c>
      <c r="G232" s="8" t="inlineStr">
        <is>
          <t>Proveedores externos (Google/Apple)</t>
        </is>
      </c>
      <c r="H232" s="14" t="inlineStr">
        <is>
          <t>Esencial</t>
        </is>
      </c>
      <c r="I232" s="6" t="inlineStr">
        <is>
          <t>V1</t>
        </is>
      </c>
      <c r="J232" s="6" t="n">
        <v>14</v>
      </c>
      <c r="K232" s="8" t="inlineStr">
        <is>
          <t>Red social</t>
        </is>
      </c>
      <c r="L232" s="8" t="inlineStr">
        <is>
          <t>OB-01-001</t>
        </is>
      </c>
      <c r="M232" s="8" t="inlineStr"/>
      <c r="N232" s="8" t="inlineStr"/>
    </row>
    <row r="233">
      <c r="A233" s="6" t="n">
        <v>228</v>
      </c>
      <c r="B233" s="7">
        <f>IF(C233="Completo","☑",IF(C233="En progreso","◐","☐"))</f>
        <v/>
      </c>
      <c r="C233" s="6" t="inlineStr">
        <is>
          <t>En progreso</t>
        </is>
      </c>
      <c r="D233" s="6" t="inlineStr">
        <is>
          <t>ACC-F11</t>
        </is>
      </c>
      <c r="E233" s="8" t="inlineStr">
        <is>
          <t>01 · Identidad y Cuentas</t>
        </is>
      </c>
      <c r="F233" s="6" t="inlineStr">
        <is>
          <t>Funcionalidad</t>
        </is>
      </c>
      <c r="G233" s="8" t="inlineStr">
        <is>
          <t>Gestión de sesiones y dispositivos</t>
        </is>
      </c>
      <c r="H233" s="14" t="inlineStr">
        <is>
          <t>Esencial</t>
        </is>
      </c>
      <c r="I233" s="6" t="inlineStr">
        <is>
          <t>V1</t>
        </is>
      </c>
      <c r="J233" s="6" t="n">
        <v>14</v>
      </c>
      <c r="K233" s="8" t="inlineStr">
        <is>
          <t>Red social</t>
        </is>
      </c>
      <c r="L233" s="8" t="inlineStr">
        <is>
          <t>OB-01-007</t>
        </is>
      </c>
      <c r="M233" s="8" t="inlineStr"/>
      <c r="N233" s="8" t="inlineStr"/>
    </row>
    <row r="234">
      <c r="A234" s="6" t="n">
        <v>229</v>
      </c>
      <c r="B234" s="7">
        <f>IF(C234="Completo","☑",IF(C234="En progreso","◐","☐"))</f>
        <v/>
      </c>
      <c r="C234" s="6" t="inlineStr">
        <is>
          <t>Pendiente</t>
        </is>
      </c>
      <c r="D234" s="6" t="inlineStr">
        <is>
          <t>ACC-F12</t>
        </is>
      </c>
      <c r="E234" s="8" t="inlineStr">
        <is>
          <t>01 · Identidad y Cuentas</t>
        </is>
      </c>
      <c r="F234" s="6" t="inlineStr">
        <is>
          <t>Funcionalidad</t>
        </is>
      </c>
      <c r="G234" s="8" t="inlineStr">
        <is>
          <t>MFA opcional para todos + recuperación</t>
        </is>
      </c>
      <c r="H234" s="14" t="inlineStr">
        <is>
          <t>Esencial</t>
        </is>
      </c>
      <c r="I234" s="6" t="inlineStr">
        <is>
          <t>V1</t>
        </is>
      </c>
      <c r="J234" s="6" t="n">
        <v>14</v>
      </c>
      <c r="K234" s="8" t="inlineStr">
        <is>
          <t>Red social</t>
        </is>
      </c>
      <c r="L234" s="8" t="inlineStr">
        <is>
          <t>OB-01-005</t>
        </is>
      </c>
      <c r="M234" s="8" t="inlineStr"/>
      <c r="N234" s="8" t="inlineStr"/>
    </row>
    <row r="235">
      <c r="A235" s="6" t="n">
        <v>230</v>
      </c>
      <c r="B235" s="7">
        <f>IF(C235="Completo","☑",IF(C235="En progreso","◐","☐"))</f>
        <v/>
      </c>
      <c r="C235" s="6" t="inlineStr">
        <is>
          <t>Pendiente</t>
        </is>
      </c>
      <c r="D235" s="6" t="inlineStr">
        <is>
          <t>ACC-F13</t>
        </is>
      </c>
      <c r="E235" s="8" t="inlineStr">
        <is>
          <t>01 · Identidad y Cuentas</t>
        </is>
      </c>
      <c r="F235" s="6" t="inlineStr">
        <is>
          <t>Funcionalidad</t>
        </is>
      </c>
      <c r="G235" s="8" t="inlineStr">
        <is>
          <t>Login con Google/Apple</t>
        </is>
      </c>
      <c r="H235" s="14" t="inlineStr">
        <is>
          <t>Esencial</t>
        </is>
      </c>
      <c r="I235" s="6" t="inlineStr">
        <is>
          <t>V1</t>
        </is>
      </c>
      <c r="J235" s="6" t="n">
        <v>14</v>
      </c>
      <c r="K235" s="8" t="inlineStr">
        <is>
          <t>Red social</t>
        </is>
      </c>
      <c r="L235" s="8" t="inlineStr">
        <is>
          <t>OB-01-001</t>
        </is>
      </c>
      <c r="M235" s="8" t="inlineStr"/>
      <c r="N235" s="8" t="inlineStr"/>
    </row>
    <row r="236">
      <c r="A236" s="6" t="n">
        <v>231</v>
      </c>
      <c r="B236" s="7">
        <f>IF(C236="Completo","☑",IF(C236="En progreso","◐","☐"))</f>
        <v/>
      </c>
      <c r="C236" s="6" t="inlineStr">
        <is>
          <t>Pendiente</t>
        </is>
      </c>
      <c r="D236" s="6" t="inlineStr">
        <is>
          <t>CNT-M03</t>
        </is>
      </c>
      <c r="E236" s="8" t="inlineStr">
        <is>
          <t>04 · Contenido</t>
        </is>
      </c>
      <c r="F236" s="6" t="inlineStr">
        <is>
          <t>Mantenimiento</t>
        </is>
      </c>
      <c r="G236" s="8" t="inlineStr">
        <is>
          <t>Caducidad de stories</t>
        </is>
      </c>
      <c r="H236" s="14" t="inlineStr">
        <is>
          <t>Esencial</t>
        </is>
      </c>
      <c r="I236" s="6" t="inlineStr">
        <is>
          <t>V1</t>
        </is>
      </c>
      <c r="J236" s="6" t="n">
        <v>14</v>
      </c>
      <c r="K236" s="8" t="inlineStr">
        <is>
          <t>Red social</t>
        </is>
      </c>
      <c r="L236" s="8" t="inlineStr">
        <is>
          <t>OB-10-009</t>
        </is>
      </c>
      <c r="M236" s="8" t="inlineStr"/>
      <c r="N236" s="8" t="inlineStr"/>
    </row>
    <row r="237">
      <c r="A237" s="6" t="n">
        <v>232</v>
      </c>
      <c r="B237" s="7">
        <f>IF(C237="Completo","☑",IF(C237="En progreso","◐","☐"))</f>
        <v/>
      </c>
      <c r="C237" s="6" t="inlineStr">
        <is>
          <t>Pendiente</t>
        </is>
      </c>
      <c r="D237" s="6" t="inlineStr">
        <is>
          <t>CNT-F09</t>
        </is>
      </c>
      <c r="E237" s="8" t="inlineStr">
        <is>
          <t>04 · Contenido</t>
        </is>
      </c>
      <c r="F237" s="6" t="inlineStr">
        <is>
          <t>Funcionalidad</t>
        </is>
      </c>
      <c r="G237" s="8" t="inlineStr">
        <is>
          <t>Reels (video corto)</t>
        </is>
      </c>
      <c r="H237" s="14" t="inlineStr">
        <is>
          <t>Esencial</t>
        </is>
      </c>
      <c r="I237" s="6" t="inlineStr">
        <is>
          <t>V1</t>
        </is>
      </c>
      <c r="J237" s="6" t="n">
        <v>14</v>
      </c>
      <c r="K237" s="8" t="inlineStr">
        <is>
          <t>Red social</t>
        </is>
      </c>
      <c r="L237" s="8" t="inlineStr">
        <is>
          <t>OB-10-008</t>
        </is>
      </c>
      <c r="M237" s="8" t="inlineStr"/>
      <c r="N237" s="8" t="inlineStr"/>
    </row>
    <row r="238">
      <c r="A238" s="6" t="n">
        <v>233</v>
      </c>
      <c r="B238" s="7">
        <f>IF(C238="Completo","☑",IF(C238="En progreso","◐","☐"))</f>
        <v/>
      </c>
      <c r="C238" s="6" t="inlineStr">
        <is>
          <t>Pendiente</t>
        </is>
      </c>
      <c r="D238" s="6" t="inlineStr">
        <is>
          <t>CNT-F10</t>
        </is>
      </c>
      <c r="E238" s="8" t="inlineStr">
        <is>
          <t>04 · Contenido</t>
        </is>
      </c>
      <c r="F238" s="6" t="inlineStr">
        <is>
          <t>Funcionalidad</t>
        </is>
      </c>
      <c r="G238" s="8" t="inlineStr">
        <is>
          <t>Stories con CTA de reserva</t>
        </is>
      </c>
      <c r="H238" s="14" t="inlineStr">
        <is>
          <t>Esencial</t>
        </is>
      </c>
      <c r="I238" s="6" t="inlineStr">
        <is>
          <t>V1</t>
        </is>
      </c>
      <c r="J238" s="6" t="n">
        <v>14</v>
      </c>
      <c r="K238" s="8" t="inlineStr">
        <is>
          <t>Red social</t>
        </is>
      </c>
      <c r="L238" s="8" t="inlineStr">
        <is>
          <t>OB-10-009</t>
        </is>
      </c>
      <c r="M238" s="8" t="inlineStr"/>
      <c r="N238" s="8" t="inlineStr"/>
    </row>
    <row r="239">
      <c r="A239" s="6" t="n">
        <v>234</v>
      </c>
      <c r="B239" s="7">
        <f>IF(C239="Completo","☑",IF(C239="En progreso","◐","☐"))</f>
        <v/>
      </c>
      <c r="C239" s="6" t="inlineStr">
        <is>
          <t>Pendiente</t>
        </is>
      </c>
      <c r="D239" s="6" t="inlineStr">
        <is>
          <t>MED-F06</t>
        </is>
      </c>
      <c r="E239" s="8" t="inlineStr">
        <is>
          <t>08 · Media</t>
        </is>
      </c>
      <c r="F239" s="6" t="inlineStr">
        <is>
          <t>Funcionalidad</t>
        </is>
      </c>
      <c r="G239" s="8" t="inlineStr">
        <is>
          <t>Pipeline de video (transcodificación, streaming)</t>
        </is>
      </c>
      <c r="H239" s="14" t="inlineStr">
        <is>
          <t>Esencial</t>
        </is>
      </c>
      <c r="I239" s="6" t="inlineStr">
        <is>
          <t>V1</t>
        </is>
      </c>
      <c r="J239" s="6" t="n">
        <v>14</v>
      </c>
      <c r="K239" s="8" t="inlineStr">
        <is>
          <t>Soporte de la red</t>
        </is>
      </c>
      <c r="L239" s="8" t="inlineStr">
        <is>
          <t>§15.2</t>
        </is>
      </c>
      <c r="M239" s="8" t="inlineStr"/>
      <c r="N239" s="8" t="inlineStr"/>
    </row>
    <row r="240">
      <c r="A240" s="6" t="n">
        <v>235</v>
      </c>
      <c r="B240" s="7">
        <f>IF(C240="Completo","☑",IF(C240="En progreso","◐","☐"))</f>
        <v/>
      </c>
      <c r="C240" s="6" t="inlineStr">
        <is>
          <t>Pendiente</t>
        </is>
      </c>
      <c r="D240" s="6" t="inlineStr">
        <is>
          <t>TRS-M05</t>
        </is>
      </c>
      <c r="E240" s="8" t="inlineStr">
        <is>
          <t>09 · Confianza y Seguridad</t>
        </is>
      </c>
      <c r="F240" s="6" t="inlineStr">
        <is>
          <t>Mantenimiento</t>
        </is>
      </c>
      <c r="G240" s="8" t="inlineStr">
        <is>
          <t>Categorías y SLA de tickets</t>
        </is>
      </c>
      <c r="H240" s="14" t="inlineStr">
        <is>
          <t>Esencial</t>
        </is>
      </c>
      <c r="I240" s="6" t="inlineStr">
        <is>
          <t>V1</t>
        </is>
      </c>
      <c r="J240" s="6" t="n">
        <v>14</v>
      </c>
      <c r="K240" s="8" t="inlineStr">
        <is>
          <t>Soporte de la red</t>
        </is>
      </c>
      <c r="L240" s="8" t="inlineStr">
        <is>
          <t>OB-44-002/003</t>
        </is>
      </c>
      <c r="M240" s="8" t="inlineStr"/>
      <c r="N240" s="8" t="inlineStr"/>
    </row>
    <row r="241">
      <c r="A241" s="6" t="n">
        <v>236</v>
      </c>
      <c r="B241" s="7">
        <f>IF(C241="Completo","☑",IF(C241="En progreso","◐","☐"))</f>
        <v/>
      </c>
      <c r="C241" s="6" t="inlineStr">
        <is>
          <t>Pendiente</t>
        </is>
      </c>
      <c r="D241" s="6" t="inlineStr">
        <is>
          <t>TRS-M06</t>
        </is>
      </c>
      <c r="E241" s="8" t="inlineStr">
        <is>
          <t>09 · Confianza y Seguridad</t>
        </is>
      </c>
      <c r="F241" s="6" t="inlineStr">
        <is>
          <t>Mantenimiento</t>
        </is>
      </c>
      <c r="G241" s="8" t="inlineStr">
        <is>
          <t>Artículos del centro de ayuda</t>
        </is>
      </c>
      <c r="H241" s="14" t="inlineStr">
        <is>
          <t>Esencial</t>
        </is>
      </c>
      <c r="I241" s="6" t="inlineStr">
        <is>
          <t>V1</t>
        </is>
      </c>
      <c r="J241" s="6" t="n">
        <v>14</v>
      </c>
      <c r="K241" s="8" t="inlineStr">
        <is>
          <t>Soporte de la red</t>
        </is>
      </c>
      <c r="L241" s="8" t="inlineStr">
        <is>
          <t>OB-44-001</t>
        </is>
      </c>
      <c r="M241" s="8" t="inlineStr"/>
      <c r="N241" s="8" t="inlineStr"/>
    </row>
    <row r="242">
      <c r="A242" s="6" t="n">
        <v>237</v>
      </c>
      <c r="B242" s="7">
        <f>IF(C242="Completo","☑",IF(C242="En progreso","◐","☐"))</f>
        <v/>
      </c>
      <c r="C242" s="6" t="inlineStr">
        <is>
          <t>Pendiente</t>
        </is>
      </c>
      <c r="D242" s="6" t="inlineStr">
        <is>
          <t>TRS-F12</t>
        </is>
      </c>
      <c r="E242" s="8" t="inlineStr">
        <is>
          <t>09 · Confianza y Seguridad</t>
        </is>
      </c>
      <c r="F242" s="6" t="inlineStr">
        <is>
          <t>Funcionalidad</t>
        </is>
      </c>
      <c r="G242" s="8" t="inlineStr">
        <is>
          <t>Centro de ayuda</t>
        </is>
      </c>
      <c r="H242" s="14" t="inlineStr">
        <is>
          <t>Esencial</t>
        </is>
      </c>
      <c r="I242" s="6" t="inlineStr">
        <is>
          <t>V1</t>
        </is>
      </c>
      <c r="J242" s="6" t="n">
        <v>14</v>
      </c>
      <c r="K242" s="8" t="inlineStr">
        <is>
          <t>Soporte de la red</t>
        </is>
      </c>
      <c r="L242" s="8" t="inlineStr">
        <is>
          <t>OB-44-001</t>
        </is>
      </c>
      <c r="M242" s="8" t="inlineStr"/>
      <c r="N242" s="8" t="inlineStr"/>
    </row>
    <row r="243">
      <c r="A243" s="6" t="n">
        <v>238</v>
      </c>
      <c r="B243" s="7">
        <f>IF(C243="Completo","☑",IF(C243="En progreso","◐","☐"))</f>
        <v/>
      </c>
      <c r="C243" s="6" t="inlineStr">
        <is>
          <t>Pendiente</t>
        </is>
      </c>
      <c r="D243" s="6" t="inlineStr">
        <is>
          <t>TRS-F13</t>
        </is>
      </c>
      <c r="E243" s="8" t="inlineStr">
        <is>
          <t>09 · Confianza y Seguridad</t>
        </is>
      </c>
      <c r="F243" s="6" t="inlineStr">
        <is>
          <t>Funcionalidad</t>
        </is>
      </c>
      <c r="G243" s="8" t="inlineStr">
        <is>
          <t>Crear ticket con contexto</t>
        </is>
      </c>
      <c r="H243" s="14" t="inlineStr">
        <is>
          <t>Esencial</t>
        </is>
      </c>
      <c r="I243" s="6" t="inlineStr">
        <is>
          <t>V1</t>
        </is>
      </c>
      <c r="J243" s="6" t="n">
        <v>14</v>
      </c>
      <c r="K243" s="8" t="inlineStr">
        <is>
          <t>Soporte de la red</t>
        </is>
      </c>
      <c r="L243" s="8" t="inlineStr">
        <is>
          <t>OB-44-002</t>
        </is>
      </c>
      <c r="M243" s="8" t="inlineStr"/>
      <c r="N243" s="8" t="inlineStr"/>
    </row>
    <row r="244">
      <c r="A244" s="6" t="n">
        <v>239</v>
      </c>
      <c r="B244" s="7">
        <f>IF(C244="Completo","☑",IF(C244="En progreso","◐","☐"))</f>
        <v/>
      </c>
      <c r="C244" s="6" t="inlineStr">
        <is>
          <t>Pendiente</t>
        </is>
      </c>
      <c r="D244" s="6" t="inlineStr">
        <is>
          <t>TRS-F14</t>
        </is>
      </c>
      <c r="E244" s="8" t="inlineStr">
        <is>
          <t>09 · Confianza y Seguridad</t>
        </is>
      </c>
      <c r="F244" s="6" t="inlineStr">
        <is>
          <t>Funcionalidad</t>
        </is>
      </c>
      <c r="G244" s="8" t="inlineStr">
        <is>
          <t>Gestionar tickets (asignar, escalar, SLA)</t>
        </is>
      </c>
      <c r="H244" s="14" t="inlineStr">
        <is>
          <t>Esencial</t>
        </is>
      </c>
      <c r="I244" s="6" t="inlineStr">
        <is>
          <t>V1</t>
        </is>
      </c>
      <c r="J244" s="6" t="n">
        <v>14</v>
      </c>
      <c r="K244" s="8" t="inlineStr">
        <is>
          <t>Soporte de la red</t>
        </is>
      </c>
      <c r="L244" s="8" t="inlineStr">
        <is>
          <t>OB-44-003</t>
        </is>
      </c>
      <c r="M244" s="8" t="inlineStr"/>
      <c r="N244" s="8" t="inlineStr"/>
    </row>
    <row r="245">
      <c r="A245" s="10" t="n">
        <v>240</v>
      </c>
      <c r="B245" s="11">
        <f>IF(C245="Completo","☑",IF(C245="En progreso","◐","☐"))</f>
        <v/>
      </c>
      <c r="C245" s="10" t="inlineStr">
        <is>
          <t>Pendiente</t>
        </is>
      </c>
      <c r="D245" s="10" t="inlineStr">
        <is>
          <t>GRF-F05</t>
        </is>
      </c>
      <c r="E245" s="12" t="inlineStr">
        <is>
          <t>03 · Grafo Social</t>
        </is>
      </c>
      <c r="F245" s="10" t="inlineStr">
        <is>
          <t>Funcionalidad</t>
        </is>
      </c>
      <c r="G245" s="12" t="inlineStr">
        <is>
          <t>Silenciar perfiles</t>
        </is>
      </c>
      <c r="H245" s="15" t="inlineStr">
        <is>
          <t>Esencial</t>
        </is>
      </c>
      <c r="I245" s="10" t="inlineStr">
        <is>
          <t>V1</t>
        </is>
      </c>
      <c r="J245" s="10" t="n">
        <v>15</v>
      </c>
      <c r="K245" s="12" t="inlineStr">
        <is>
          <t>Red social</t>
        </is>
      </c>
      <c r="L245" s="12" t="inlineStr">
        <is>
          <t>—</t>
        </is>
      </c>
      <c r="M245" s="12" t="inlineStr"/>
      <c r="N245" s="12" t="inlineStr"/>
    </row>
    <row r="246">
      <c r="A246" s="10" t="n">
        <v>241</v>
      </c>
      <c r="B246" s="11">
        <f>IF(C246="Completo","☑",IF(C246="En progreso","◐","☐"))</f>
        <v/>
      </c>
      <c r="C246" s="10" t="inlineStr">
        <is>
          <t>Pendiente</t>
        </is>
      </c>
      <c r="D246" s="10" t="inlineStr">
        <is>
          <t>GRF-F06</t>
        </is>
      </c>
      <c r="E246" s="12" t="inlineStr">
        <is>
          <t>03 · Grafo Social</t>
        </is>
      </c>
      <c r="F246" s="10" t="inlineStr">
        <is>
          <t>Funcionalidad</t>
        </is>
      </c>
      <c r="G246" s="12" t="inlineStr">
        <is>
          <t>Sugerencias de a quién seguir</t>
        </is>
      </c>
      <c r="H246" s="15" t="inlineStr">
        <is>
          <t>Esencial</t>
        </is>
      </c>
      <c r="I246" s="10" t="inlineStr">
        <is>
          <t>V1</t>
        </is>
      </c>
      <c r="J246" s="10" t="n">
        <v>15</v>
      </c>
      <c r="K246" s="12" t="inlineStr">
        <is>
          <t>Red social</t>
        </is>
      </c>
      <c r="L246" s="12" t="inlineStr">
        <is>
          <t>OB-09-005</t>
        </is>
      </c>
      <c r="M246" s="12" t="inlineStr"/>
      <c r="N246" s="12" t="inlineStr"/>
    </row>
    <row r="247">
      <c r="A247" s="10" t="n">
        <v>242</v>
      </c>
      <c r="B247" s="11">
        <f>IF(C247="Completo","☑",IF(C247="En progreso","◐","☐"))</f>
        <v/>
      </c>
      <c r="C247" s="10" t="inlineStr">
        <is>
          <t>Pendiente</t>
        </is>
      </c>
      <c r="D247" s="10" t="inlineStr">
        <is>
          <t>FED-M02</t>
        </is>
      </c>
      <c r="E247" s="12" t="inlineStr">
        <is>
          <t>05 · Feed, Explorar y Búsqueda</t>
        </is>
      </c>
      <c r="F247" s="10" t="inlineStr">
        <is>
          <t>Mantenimiento</t>
        </is>
      </c>
      <c r="G247" s="12" t="inlineStr">
        <is>
          <t>Pesos de ranking y etiquetado de publicidad</t>
        </is>
      </c>
      <c r="H247" s="15" t="inlineStr">
        <is>
          <t>Esencial</t>
        </is>
      </c>
      <c r="I247" s="10" t="inlineStr">
        <is>
          <t>V1</t>
        </is>
      </c>
      <c r="J247" s="10" t="n">
        <v>15</v>
      </c>
      <c r="K247" s="12" t="inlineStr">
        <is>
          <t>Red social</t>
        </is>
      </c>
      <c r="L247" s="12" t="inlineStr">
        <is>
          <t>OB-09-003</t>
        </is>
      </c>
      <c r="M247" s="12" t="inlineStr"/>
      <c r="N247" s="12" t="inlineStr"/>
    </row>
    <row r="248">
      <c r="A248" s="10" t="n">
        <v>243</v>
      </c>
      <c r="B248" s="11">
        <f>IF(C248="Completo","☑",IF(C248="En progreso","◐","☐"))</f>
        <v/>
      </c>
      <c r="C248" s="10" t="inlineStr">
        <is>
          <t>Pendiente</t>
        </is>
      </c>
      <c r="D248" s="10" t="inlineStr">
        <is>
          <t>FED-M03</t>
        </is>
      </c>
      <c r="E248" s="12" t="inlineStr">
        <is>
          <t>05 · Feed, Explorar y Búsqueda</t>
        </is>
      </c>
      <c r="F248" s="10" t="inlineStr">
        <is>
          <t>Mantenimiento</t>
        </is>
      </c>
      <c r="G248" s="12" t="inlineStr">
        <is>
          <t>Sinónimos y normalización (español dominicano)</t>
        </is>
      </c>
      <c r="H248" s="15" t="inlineStr">
        <is>
          <t>Esencial</t>
        </is>
      </c>
      <c r="I248" s="10" t="inlineStr">
        <is>
          <t>V1</t>
        </is>
      </c>
      <c r="J248" s="10" t="n">
        <v>15</v>
      </c>
      <c r="K248" s="12" t="inlineStr">
        <is>
          <t>Red social</t>
        </is>
      </c>
      <c r="L248" s="12" t="inlineStr">
        <is>
          <t>TECH-06-001</t>
        </is>
      </c>
      <c r="M248" s="12" t="inlineStr"/>
      <c r="N248" s="12" t="inlineStr"/>
    </row>
    <row r="249">
      <c r="A249" s="10" t="n">
        <v>244</v>
      </c>
      <c r="B249" s="11">
        <f>IF(C249="Completo","☑",IF(C249="En progreso","◐","☐"))</f>
        <v/>
      </c>
      <c r="C249" s="10" t="inlineStr">
        <is>
          <t>Pendiente</t>
        </is>
      </c>
      <c r="D249" s="10" t="inlineStr">
        <is>
          <t>FED-F08</t>
        </is>
      </c>
      <c r="E249" s="12" t="inlineStr">
        <is>
          <t>05 · Feed, Explorar y Búsqueda</t>
        </is>
      </c>
      <c r="F249" s="10" t="inlineStr">
        <is>
          <t>Funcionalidad</t>
        </is>
      </c>
      <c r="G249" s="12" t="inlineStr">
        <is>
          <t>Feed personalizado con ranking</t>
        </is>
      </c>
      <c r="H249" s="15" t="inlineStr">
        <is>
          <t>Esencial</t>
        </is>
      </c>
      <c r="I249" s="10" t="inlineStr">
        <is>
          <t>V1</t>
        </is>
      </c>
      <c r="J249" s="10" t="n">
        <v>15</v>
      </c>
      <c r="K249" s="12" t="inlineStr">
        <is>
          <t>Red social</t>
        </is>
      </c>
      <c r="L249" s="12" t="inlineStr">
        <is>
          <t>OB-09-005</t>
        </is>
      </c>
      <c r="M249" s="12" t="inlineStr"/>
      <c r="N249" s="12" t="inlineStr"/>
    </row>
    <row r="250">
      <c r="A250" s="10" t="n">
        <v>245</v>
      </c>
      <c r="B250" s="11">
        <f>IF(C250="Completo","☑",IF(C250="En progreso","◐","☐"))</f>
        <v/>
      </c>
      <c r="C250" s="10" t="inlineStr">
        <is>
          <t>Pendiente</t>
        </is>
      </c>
      <c r="D250" s="10" t="inlineStr">
        <is>
          <t>FED-F09</t>
        </is>
      </c>
      <c r="E250" s="12" t="inlineStr">
        <is>
          <t>05 · Feed, Explorar y Búsqueda</t>
        </is>
      </c>
      <c r="F250" s="10" t="inlineStr">
        <is>
          <t>Funcionalidad</t>
        </is>
      </c>
      <c r="G250" s="12" t="inlineStr">
        <is>
          <t>Tendencias</t>
        </is>
      </c>
      <c r="H250" s="15" t="inlineStr">
        <is>
          <t>Esencial</t>
        </is>
      </c>
      <c r="I250" s="10" t="inlineStr">
        <is>
          <t>V1</t>
        </is>
      </c>
      <c r="J250" s="10" t="n">
        <v>15</v>
      </c>
      <c r="K250" s="12" t="inlineStr">
        <is>
          <t>Red social</t>
        </is>
      </c>
      <c r="L250" s="12" t="inlineStr">
        <is>
          <t>—</t>
        </is>
      </c>
      <c r="M250" s="12" t="inlineStr"/>
      <c r="N250" s="12" t="inlineStr"/>
    </row>
    <row r="251">
      <c r="A251" s="10" t="n">
        <v>246</v>
      </c>
      <c r="B251" s="11">
        <f>IF(C251="Completo","☑",IF(C251="En progreso","◐","☐"))</f>
        <v/>
      </c>
      <c r="C251" s="10" t="inlineStr">
        <is>
          <t>Pendiente</t>
        </is>
      </c>
      <c r="D251" s="10" t="inlineStr">
        <is>
          <t>FED-F10</t>
        </is>
      </c>
      <c r="E251" s="12" t="inlineStr">
        <is>
          <t>05 · Feed, Explorar y Búsqueda</t>
        </is>
      </c>
      <c r="F251" s="10" t="inlineStr">
        <is>
          <t>Funcionalidad</t>
        </is>
      </c>
      <c r="G251" s="12" t="inlineStr">
        <is>
          <t>Búsqueda en lenguaje natural</t>
        </is>
      </c>
      <c r="H251" s="15" t="inlineStr">
        <is>
          <t>Esencial</t>
        </is>
      </c>
      <c r="I251" s="10" t="inlineStr">
        <is>
          <t>V1</t>
        </is>
      </c>
      <c r="J251" s="10" t="n">
        <v>15</v>
      </c>
      <c r="K251" s="12" t="inlineStr">
        <is>
          <t>Red social</t>
        </is>
      </c>
      <c r="L251" s="12" t="inlineStr">
        <is>
          <t>TECH-06-001</t>
        </is>
      </c>
      <c r="M251" s="12" t="inlineStr"/>
      <c r="N251" s="12" t="inlineStr"/>
    </row>
    <row r="252">
      <c r="A252" s="10" t="n">
        <v>247</v>
      </c>
      <c r="B252" s="11">
        <f>IF(C252="Completo","☑",IF(C252="En progreso","◐","☐"))</f>
        <v/>
      </c>
      <c r="C252" s="10" t="inlineStr">
        <is>
          <t>Pendiente</t>
        </is>
      </c>
      <c r="D252" s="10" t="inlineStr">
        <is>
          <t>MSG-F07</t>
        </is>
      </c>
      <c r="E252" s="12" t="inlineStr">
        <is>
          <t>06 · Mensajería</t>
        </is>
      </c>
      <c r="F252" s="10" t="inlineStr">
        <is>
          <t>Funcionalidad</t>
        </is>
      </c>
      <c r="G252" s="12" t="inlineStr">
        <is>
          <t>Confirmación de entrega y lectura</t>
        </is>
      </c>
      <c r="H252" s="15" t="inlineStr">
        <is>
          <t>Esencial</t>
        </is>
      </c>
      <c r="I252" s="10" t="inlineStr">
        <is>
          <t>V1</t>
        </is>
      </c>
      <c r="J252" s="10" t="n">
        <v>15</v>
      </c>
      <c r="K252" s="12" t="inlineStr">
        <is>
          <t>Red social</t>
        </is>
      </c>
      <c r="L252" s="12" t="inlineStr">
        <is>
          <t>OB-20-005</t>
        </is>
      </c>
      <c r="M252" s="12" t="inlineStr"/>
      <c r="N252" s="12" t="inlineStr"/>
    </row>
    <row r="253">
      <c r="A253" s="10" t="n">
        <v>248</v>
      </c>
      <c r="B253" s="11">
        <f>IF(C253="Completo","☑",IF(C253="En progreso","◐","☐"))</f>
        <v/>
      </c>
      <c r="C253" s="10" t="inlineStr">
        <is>
          <t>Pendiente</t>
        </is>
      </c>
      <c r="D253" s="10" t="inlineStr">
        <is>
          <t>NTF-F09</t>
        </is>
      </c>
      <c r="E253" s="12" t="inlineStr">
        <is>
          <t>07 · Notificaciones</t>
        </is>
      </c>
      <c r="F253" s="10" t="inlineStr">
        <is>
          <t>Funcionalidad</t>
        </is>
      </c>
      <c r="G253" s="12" t="inlineStr">
        <is>
          <t>Push (FCM/APNs)</t>
        </is>
      </c>
      <c r="H253" s="15" t="inlineStr">
        <is>
          <t>Esencial</t>
        </is>
      </c>
      <c r="I253" s="10" t="inlineStr">
        <is>
          <t>V1</t>
        </is>
      </c>
      <c r="J253" s="10" t="n">
        <v>15</v>
      </c>
      <c r="K253" s="12" t="inlineStr">
        <is>
          <t>Red social</t>
        </is>
      </c>
      <c r="L253" s="12" t="inlineStr">
        <is>
          <t>§14.2</t>
        </is>
      </c>
      <c r="M253" s="12" t="inlineStr"/>
      <c r="N253" s="12" t="inlineStr"/>
    </row>
    <row r="254">
      <c r="A254" s="10" t="n">
        <v>249</v>
      </c>
      <c r="B254" s="11">
        <f>IF(C254="Completo","☑",IF(C254="En progreso","◐","☐"))</f>
        <v/>
      </c>
      <c r="C254" s="10" t="inlineStr">
        <is>
          <t>Pendiente</t>
        </is>
      </c>
      <c r="D254" s="10" t="inlineStr">
        <is>
          <t>NTF-F10</t>
        </is>
      </c>
      <c r="E254" s="12" t="inlineStr">
        <is>
          <t>07 · Notificaciones</t>
        </is>
      </c>
      <c r="F254" s="10" t="inlineStr">
        <is>
          <t>Funcionalidad</t>
        </is>
      </c>
      <c r="G254" s="12" t="inlineStr">
        <is>
          <t>Agrupación de avisos (“X y 5 más”)</t>
        </is>
      </c>
      <c r="H254" s="15" t="inlineStr">
        <is>
          <t>Esencial</t>
        </is>
      </c>
      <c r="I254" s="10" t="inlineStr">
        <is>
          <t>V1</t>
        </is>
      </c>
      <c r="J254" s="10" t="n">
        <v>15</v>
      </c>
      <c r="K254" s="12" t="inlineStr">
        <is>
          <t>Red social</t>
        </is>
      </c>
      <c r="L254" s="12" t="inlineStr">
        <is>
          <t>—</t>
        </is>
      </c>
      <c r="M254" s="12" t="inlineStr"/>
      <c r="N254" s="12" t="inlineStr"/>
    </row>
    <row r="255">
      <c r="A255" s="6" t="n">
        <v>250</v>
      </c>
      <c r="B255" s="7">
        <f>IF(C255="Completo","☑",IF(C255="En progreso","◐","☐"))</f>
        <v/>
      </c>
      <c r="C255" s="6" t="inlineStr">
        <is>
          <t>Pendiente</t>
        </is>
      </c>
      <c r="D255" s="6" t="inlineStr">
        <is>
          <t>NTF-F11</t>
        </is>
      </c>
      <c r="E255" s="8" t="inlineStr">
        <is>
          <t>07 · Notificaciones</t>
        </is>
      </c>
      <c r="F255" s="6" t="inlineStr">
        <is>
          <t>Funcionalidad</t>
        </is>
      </c>
      <c r="G255" s="8" t="inlineStr">
        <is>
          <t>Recordatorio próximo, en camino, reembolso, promo, waitlist</t>
        </is>
      </c>
      <c r="H255" s="14" t="inlineStr">
        <is>
          <t>Esencial</t>
        </is>
      </c>
      <c r="I255" s="6" t="inlineStr">
        <is>
          <t>V1</t>
        </is>
      </c>
      <c r="J255" s="6" t="n">
        <v>16</v>
      </c>
      <c r="K255" s="8" t="inlineStr">
        <is>
          <t>Red social</t>
        </is>
      </c>
      <c r="L255" s="8" t="inlineStr">
        <is>
          <t>OB-21-003/004/008/009/010</t>
        </is>
      </c>
      <c r="M255" s="8" t="inlineStr"/>
      <c r="N255" s="8" t="inlineStr"/>
    </row>
    <row r="256">
      <c r="A256" s="6" t="n">
        <v>251</v>
      </c>
      <c r="B256" s="7">
        <f>IF(C256="Completo","☑",IF(C256="En progreso","◐","☐"))</f>
        <v/>
      </c>
      <c r="C256" s="6" t="inlineStr">
        <is>
          <t>Pendiente</t>
        </is>
      </c>
      <c r="D256" s="6" t="inlineStr">
        <is>
          <t>CAT-F06</t>
        </is>
      </c>
      <c r="E256" s="8" t="inlineStr">
        <is>
          <t>11 · Catálogo de Servicios</t>
        </is>
      </c>
      <c r="F256" s="6" t="inlineStr">
        <is>
          <t>Funcionalidad</t>
        </is>
      </c>
      <c r="G256" s="8" t="inlineStr">
        <is>
          <t>Variantes</t>
        </is>
      </c>
      <c r="H256" s="14" t="inlineStr">
        <is>
          <t>Esencial</t>
        </is>
      </c>
      <c r="I256" s="6" t="inlineStr">
        <is>
          <t>V1</t>
        </is>
      </c>
      <c r="J256" s="6" t="n">
        <v>16</v>
      </c>
      <c r="K256" s="8" t="inlineStr">
        <is>
          <t>Marketplace</t>
        </is>
      </c>
      <c r="L256" s="8" t="inlineStr">
        <is>
          <t>OB-08-002</t>
        </is>
      </c>
      <c r="M256" s="8" t="inlineStr"/>
      <c r="N256" s="8" t="inlineStr"/>
    </row>
    <row r="257">
      <c r="A257" s="6" t="n">
        <v>252</v>
      </c>
      <c r="B257" s="7">
        <f>IF(C257="Completo","☑",IF(C257="En progreso","◐","☐"))</f>
        <v/>
      </c>
      <c r="C257" s="6" t="inlineStr">
        <is>
          <t>Pendiente</t>
        </is>
      </c>
      <c r="D257" s="6" t="inlineStr">
        <is>
          <t>CAT-F07</t>
        </is>
      </c>
      <c r="E257" s="8" t="inlineStr">
        <is>
          <t>11 · Catálogo de Servicios</t>
        </is>
      </c>
      <c r="F257" s="6" t="inlineStr">
        <is>
          <t>Funcionalidad</t>
        </is>
      </c>
      <c r="G257" s="8" t="inlineStr">
        <is>
          <t>Add-ons</t>
        </is>
      </c>
      <c r="H257" s="14" t="inlineStr">
        <is>
          <t>Esencial</t>
        </is>
      </c>
      <c r="I257" s="6" t="inlineStr">
        <is>
          <t>V1</t>
        </is>
      </c>
      <c r="J257" s="6" t="n">
        <v>16</v>
      </c>
      <c r="K257" s="8" t="inlineStr">
        <is>
          <t>Marketplace</t>
        </is>
      </c>
      <c r="L257" s="8" t="inlineStr">
        <is>
          <t>OB-08-003</t>
        </is>
      </c>
      <c r="M257" s="8" t="inlineStr"/>
      <c r="N257" s="8" t="inlineStr"/>
    </row>
    <row r="258">
      <c r="A258" s="6" t="n">
        <v>253</v>
      </c>
      <c r="B258" s="7">
        <f>IF(C258="Completo","☑",IF(C258="En progreso","◐","☐"))</f>
        <v/>
      </c>
      <c r="C258" s="6" t="inlineStr">
        <is>
          <t>Pendiente</t>
        </is>
      </c>
      <c r="D258" s="6" t="inlineStr">
        <is>
          <t>SCH-M06</t>
        </is>
      </c>
      <c r="E258" s="8" t="inlineStr">
        <is>
          <t>12 · Agenda y Disponibilidad</t>
        </is>
      </c>
      <c r="F258" s="6" t="inlineStr">
        <is>
          <t>Mantenimiento</t>
        </is>
      </c>
      <c r="G258" s="8" t="inlineStr">
        <is>
          <t>Buffers</t>
        </is>
      </c>
      <c r="H258" s="14" t="inlineStr">
        <is>
          <t>Esencial</t>
        </is>
      </c>
      <c r="I258" s="6" t="inlineStr">
        <is>
          <t>V1</t>
        </is>
      </c>
      <c r="J258" s="6" t="n">
        <v>16</v>
      </c>
      <c r="K258" s="8" t="inlineStr">
        <is>
          <t>Marketplace</t>
        </is>
      </c>
      <c r="L258" s="8" t="inlineStr">
        <is>
          <t>OB-11-006</t>
        </is>
      </c>
      <c r="M258" s="8" t="inlineStr"/>
      <c r="N258" s="8" t="inlineStr"/>
    </row>
    <row r="259">
      <c r="A259" s="6" t="n">
        <v>254</v>
      </c>
      <c r="B259" s="7">
        <f>IF(C259="Completo","☑",IF(C259="En progreso","◐","☐"))</f>
        <v/>
      </c>
      <c r="C259" s="6" t="inlineStr">
        <is>
          <t>Pendiente</t>
        </is>
      </c>
      <c r="D259" s="6" t="inlineStr">
        <is>
          <t>BKG-M05</t>
        </is>
      </c>
      <c r="E259" s="8" t="inlineStr">
        <is>
          <t>13 · Reservas</t>
        </is>
      </c>
      <c r="F259" s="6" t="inlineStr">
        <is>
          <t>Mantenimiento</t>
        </is>
      </c>
      <c r="G259" s="8" t="inlineStr">
        <is>
          <t>Parámetros de lista de espera</t>
        </is>
      </c>
      <c r="H259" s="14" t="inlineStr">
        <is>
          <t>Esencial</t>
        </is>
      </c>
      <c r="I259" s="6" t="inlineStr">
        <is>
          <t>V1</t>
        </is>
      </c>
      <c r="J259" s="6" t="n">
        <v>16</v>
      </c>
      <c r="K259" s="8" t="inlineStr">
        <is>
          <t>Marketplace</t>
        </is>
      </c>
      <c r="L259" s="8" t="inlineStr">
        <is>
          <t>OB-13-003</t>
        </is>
      </c>
      <c r="M259" s="8" t="inlineStr"/>
      <c r="N259" s="8" t="inlineStr"/>
    </row>
    <row r="260">
      <c r="A260" s="6" t="n">
        <v>255</v>
      </c>
      <c r="B260" s="7">
        <f>IF(C260="Completo","☑",IF(C260="En progreso","◐","☐"))</f>
        <v/>
      </c>
      <c r="C260" s="6" t="inlineStr">
        <is>
          <t>Pendiente</t>
        </is>
      </c>
      <c r="D260" s="6" t="inlineStr">
        <is>
          <t>BKG-F13</t>
        </is>
      </c>
      <c r="E260" s="8" t="inlineStr">
        <is>
          <t>13 · Reservas</t>
        </is>
      </c>
      <c r="F260" s="6" t="inlineStr">
        <is>
          <t>Funcionalidad</t>
        </is>
      </c>
      <c r="G260" s="8" t="inlineStr">
        <is>
          <t>Unirse a lista de espera</t>
        </is>
      </c>
      <c r="H260" s="14" t="inlineStr">
        <is>
          <t>Esencial</t>
        </is>
      </c>
      <c r="I260" s="6" t="inlineStr">
        <is>
          <t>V1</t>
        </is>
      </c>
      <c r="J260" s="6" t="n">
        <v>16</v>
      </c>
      <c r="K260" s="8" t="inlineStr">
        <is>
          <t>Marketplace</t>
        </is>
      </c>
      <c r="L260" s="8" t="inlineStr">
        <is>
          <t>OB-13-001</t>
        </is>
      </c>
      <c r="M260" s="8" t="inlineStr"/>
      <c r="N260" s="8" t="inlineStr"/>
    </row>
    <row r="261">
      <c r="A261" s="6" t="n">
        <v>256</v>
      </c>
      <c r="B261" s="7">
        <f>IF(C261="Completo","☑",IF(C261="En progreso","◐","☐"))</f>
        <v/>
      </c>
      <c r="C261" s="6" t="inlineStr">
        <is>
          <t>Pendiente</t>
        </is>
      </c>
      <c r="D261" s="6" t="inlineStr">
        <is>
          <t>BKG-F14</t>
        </is>
      </c>
      <c r="E261" s="8" t="inlineStr">
        <is>
          <t>13 · Reservas</t>
        </is>
      </c>
      <c r="F261" s="6" t="inlineStr">
        <is>
          <t>Funcionalidad</t>
        </is>
      </c>
      <c r="G261" s="8" t="inlineStr">
        <is>
          <t>Notificar slot liberado</t>
        </is>
      </c>
      <c r="H261" s="14" t="inlineStr">
        <is>
          <t>Esencial</t>
        </is>
      </c>
      <c r="I261" s="6" t="inlineStr">
        <is>
          <t>V1</t>
        </is>
      </c>
      <c r="J261" s="6" t="n">
        <v>16</v>
      </c>
      <c r="K261" s="8" t="inlineStr">
        <is>
          <t>Marketplace</t>
        </is>
      </c>
      <c r="L261" s="8" t="inlineStr">
        <is>
          <t>OB-13-002</t>
        </is>
      </c>
      <c r="M261" s="8" t="inlineStr"/>
      <c r="N261" s="8" t="inlineStr"/>
    </row>
    <row r="262">
      <c r="A262" s="6" t="n">
        <v>257</v>
      </c>
      <c r="B262" s="7">
        <f>IF(C262="Completo","☑",IF(C262="En progreso","◐","☐"))</f>
        <v/>
      </c>
      <c r="C262" s="6" t="inlineStr">
        <is>
          <t>Pendiente</t>
        </is>
      </c>
      <c r="D262" s="6" t="inlineStr">
        <is>
          <t>BKG-F15</t>
        </is>
      </c>
      <c r="E262" s="8" t="inlineStr">
        <is>
          <t>13 · Reservas</t>
        </is>
      </c>
      <c r="F262" s="6" t="inlineStr">
        <is>
          <t>Funcionalidad</t>
        </is>
      </c>
      <c r="G262" s="8" t="inlineStr">
        <is>
          <t>Ventana de prioridad</t>
        </is>
      </c>
      <c r="H262" s="14" t="inlineStr">
        <is>
          <t>Esencial</t>
        </is>
      </c>
      <c r="I262" s="6" t="inlineStr">
        <is>
          <t>V1</t>
        </is>
      </c>
      <c r="J262" s="6" t="n">
        <v>16</v>
      </c>
      <c r="K262" s="8" t="inlineStr">
        <is>
          <t>Marketplace</t>
        </is>
      </c>
      <c r="L262" s="8" t="inlineStr">
        <is>
          <t>OB-13-003</t>
        </is>
      </c>
      <c r="M262" s="8" t="inlineStr"/>
      <c r="N262" s="8" t="inlineStr"/>
    </row>
    <row r="263">
      <c r="A263" s="6" t="n">
        <v>258</v>
      </c>
      <c r="B263" s="7">
        <f>IF(C263="Completo","☑",IF(C263="En progreso","◐","☐"))</f>
        <v/>
      </c>
      <c r="C263" s="6" t="inlineStr">
        <is>
          <t>Pendiente</t>
        </is>
      </c>
      <c r="D263" s="6" t="inlineStr">
        <is>
          <t>HOM-F07</t>
        </is>
      </c>
      <c r="E263" s="8" t="inlineStr">
        <is>
          <t>14 · Servicio a Domicilio</t>
        </is>
      </c>
      <c r="F263" s="6" t="inlineStr">
        <is>
          <t>Funcionalidad</t>
        </is>
      </c>
      <c r="G263" s="8" t="inlineStr">
        <is>
          <t>Tracking temporal</t>
        </is>
      </c>
      <c r="H263" s="14" t="inlineStr">
        <is>
          <t>Esencial</t>
        </is>
      </c>
      <c r="I263" s="6" t="inlineStr">
        <is>
          <t>V1</t>
        </is>
      </c>
      <c r="J263" s="6" t="n">
        <v>16</v>
      </c>
      <c r="K263" s="8" t="inlineStr">
        <is>
          <t>Marketplace</t>
        </is>
      </c>
      <c r="L263" s="8" t="inlineStr">
        <is>
          <t>OB-15-003</t>
        </is>
      </c>
      <c r="M263" s="8" t="inlineStr"/>
      <c r="N263" s="8" t="inlineStr"/>
    </row>
    <row r="264">
      <c r="A264" s="6" t="n">
        <v>259</v>
      </c>
      <c r="B264" s="7">
        <f>IF(C264="Completo","☑",IF(C264="En progreso","◐","☐"))</f>
        <v/>
      </c>
      <c r="C264" s="6" t="inlineStr">
        <is>
          <t>Pendiente</t>
        </is>
      </c>
      <c r="D264" s="6" t="inlineStr">
        <is>
          <t>HOM-F08</t>
        </is>
      </c>
      <c r="E264" s="8" t="inlineStr">
        <is>
          <t>14 · Servicio a Domicilio</t>
        </is>
      </c>
      <c r="F264" s="6" t="inlineStr">
        <is>
          <t>Funcionalidad</t>
        </is>
      </c>
      <c r="G264" s="8" t="inlineStr">
        <is>
          <t>ETA</t>
        </is>
      </c>
      <c r="H264" s="14" t="inlineStr">
        <is>
          <t>Esencial</t>
        </is>
      </c>
      <c r="I264" s="6" t="inlineStr">
        <is>
          <t>V1</t>
        </is>
      </c>
      <c r="J264" s="6" t="n">
        <v>16</v>
      </c>
      <c r="K264" s="8" t="inlineStr">
        <is>
          <t>Marketplace</t>
        </is>
      </c>
      <c r="L264" s="8" t="inlineStr">
        <is>
          <t>OB-15-002</t>
        </is>
      </c>
      <c r="M264" s="8" t="inlineStr"/>
      <c r="N264" s="8" t="inlineStr"/>
    </row>
    <row r="265">
      <c r="A265" s="10" t="n">
        <v>260</v>
      </c>
      <c r="B265" s="11">
        <f>IF(C265="Completo","☑",IF(C265="En progreso","◐","☐"))</f>
        <v/>
      </c>
      <c r="C265" s="10" t="inlineStr">
        <is>
          <t>Pendiente</t>
        </is>
      </c>
      <c r="D265" s="10" t="inlineStr">
        <is>
          <t>TRS-M03</t>
        </is>
      </c>
      <c r="E265" s="12" t="inlineStr">
        <is>
          <t>09 · Confianza y Seguridad</t>
        </is>
      </c>
      <c r="F265" s="10" t="inlineStr">
        <is>
          <t>Mantenimiento</t>
        </is>
      </c>
      <c r="G265" s="12" t="inlineStr">
        <is>
          <t>Motivos de disputa</t>
        </is>
      </c>
      <c r="H265" s="15" t="inlineStr">
        <is>
          <t>Esencial</t>
        </is>
      </c>
      <c r="I265" s="10" t="inlineStr">
        <is>
          <t>V1</t>
        </is>
      </c>
      <c r="J265" s="10" t="n">
        <v>17</v>
      </c>
      <c r="K265" s="12" t="inlineStr">
        <is>
          <t>Soporte de la red</t>
        </is>
      </c>
      <c r="L265" s="12" t="inlineStr">
        <is>
          <t>OB-19-001</t>
        </is>
      </c>
      <c r="M265" s="12" t="inlineStr"/>
      <c r="N265" s="12" t="inlineStr"/>
    </row>
    <row r="266">
      <c r="A266" s="10" t="n">
        <v>261</v>
      </c>
      <c r="B266" s="11">
        <f>IF(C266="Completo","☑",IF(C266="En progreso","◐","☐"))</f>
        <v/>
      </c>
      <c r="C266" s="10" t="inlineStr">
        <is>
          <t>Pendiente</t>
        </is>
      </c>
      <c r="D266" s="10" t="inlineStr">
        <is>
          <t>TRS-M04</t>
        </is>
      </c>
      <c r="E266" s="12" t="inlineStr">
        <is>
          <t>09 · Confianza y Seguridad</t>
        </is>
      </c>
      <c r="F266" s="10" t="inlineStr">
        <is>
          <t>Mantenimiento</t>
        </is>
      </c>
      <c r="G266" s="12" t="inlineStr">
        <is>
          <t>Tipos de resolución de disputa</t>
        </is>
      </c>
      <c r="H266" s="15" t="inlineStr">
        <is>
          <t>Esencial</t>
        </is>
      </c>
      <c r="I266" s="10" t="inlineStr">
        <is>
          <t>V1</t>
        </is>
      </c>
      <c r="J266" s="10" t="n">
        <v>17</v>
      </c>
      <c r="K266" s="12" t="inlineStr">
        <is>
          <t>Soporte de la red</t>
        </is>
      </c>
      <c r="L266" s="12" t="inlineStr">
        <is>
          <t>OB-19-004</t>
        </is>
      </c>
      <c r="M266" s="12" t="inlineStr"/>
      <c r="N266" s="12" t="inlineStr"/>
    </row>
    <row r="267">
      <c r="A267" s="10" t="n">
        <v>262</v>
      </c>
      <c r="B267" s="11">
        <f>IF(C267="Completo","☑",IF(C267="En progreso","◐","☐"))</f>
        <v/>
      </c>
      <c r="C267" s="10" t="inlineStr">
        <is>
          <t>Pendiente</t>
        </is>
      </c>
      <c r="D267" s="10" t="inlineStr">
        <is>
          <t>TRS-F06</t>
        </is>
      </c>
      <c r="E267" s="12" t="inlineStr">
        <is>
          <t>09 · Confianza y Seguridad</t>
        </is>
      </c>
      <c r="F267" s="10" t="inlineStr">
        <is>
          <t>Funcionalidad</t>
        </is>
      </c>
      <c r="G267" s="12" t="inlineStr">
        <is>
          <t>Reportar problema de una reserva</t>
        </is>
      </c>
      <c r="H267" s="15" t="inlineStr">
        <is>
          <t>Esencial</t>
        </is>
      </c>
      <c r="I267" s="10" t="inlineStr">
        <is>
          <t>V1</t>
        </is>
      </c>
      <c r="J267" s="10" t="n">
        <v>17</v>
      </c>
      <c r="K267" s="12" t="inlineStr">
        <is>
          <t>Soporte de la red</t>
        </is>
      </c>
      <c r="L267" s="12" t="inlineStr">
        <is>
          <t>OB-19-001</t>
        </is>
      </c>
      <c r="M267" s="12" t="inlineStr"/>
      <c r="N267" s="12" t="inlineStr"/>
    </row>
    <row r="268">
      <c r="A268" s="10" t="n">
        <v>263</v>
      </c>
      <c r="B268" s="11">
        <f>IF(C268="Completo","☑",IF(C268="En progreso","◐","☐"))</f>
        <v/>
      </c>
      <c r="C268" s="10" t="inlineStr">
        <is>
          <t>Pendiente</t>
        </is>
      </c>
      <c r="D268" s="10" t="inlineStr">
        <is>
          <t>TRS-F07</t>
        </is>
      </c>
      <c r="E268" s="12" t="inlineStr">
        <is>
          <t>09 · Confianza y Seguridad</t>
        </is>
      </c>
      <c r="F268" s="10" t="inlineStr">
        <is>
          <t>Funcionalidad</t>
        </is>
      </c>
      <c r="G268" s="12" t="inlineStr">
        <is>
          <t>Adjuntar evidencia</t>
        </is>
      </c>
      <c r="H268" s="15" t="inlineStr">
        <is>
          <t>Esencial</t>
        </is>
      </c>
      <c r="I268" s="10" t="inlineStr">
        <is>
          <t>V1</t>
        </is>
      </c>
      <c r="J268" s="10" t="n">
        <v>17</v>
      </c>
      <c r="K268" s="12" t="inlineStr">
        <is>
          <t>Soporte de la red</t>
        </is>
      </c>
      <c r="L268" s="12" t="inlineStr">
        <is>
          <t>OB-19-002</t>
        </is>
      </c>
      <c r="M268" s="12" t="inlineStr"/>
      <c r="N268" s="12" t="inlineStr"/>
    </row>
    <row r="269">
      <c r="A269" s="10" t="n">
        <v>264</v>
      </c>
      <c r="B269" s="11">
        <f>IF(C269="Completo","☑",IF(C269="En progreso","◐","☐"))</f>
        <v/>
      </c>
      <c r="C269" s="10" t="inlineStr">
        <is>
          <t>Pendiente</t>
        </is>
      </c>
      <c r="D269" s="10" t="inlineStr">
        <is>
          <t>TRS-F08</t>
        </is>
      </c>
      <c r="E269" s="12" t="inlineStr">
        <is>
          <t>09 · Confianza y Seguridad</t>
        </is>
      </c>
      <c r="F269" s="10" t="inlineStr">
        <is>
          <t>Funcionalidad</t>
        </is>
      </c>
      <c r="G269" s="12" t="inlineStr">
        <is>
          <t>Centro de disputa (timeline)</t>
        </is>
      </c>
      <c r="H269" s="15" t="inlineStr">
        <is>
          <t>Esencial</t>
        </is>
      </c>
      <c r="I269" s="10" t="inlineStr">
        <is>
          <t>V1</t>
        </is>
      </c>
      <c r="J269" s="10" t="n">
        <v>17</v>
      </c>
      <c r="K269" s="12" t="inlineStr">
        <is>
          <t>Soporte de la red</t>
        </is>
      </c>
      <c r="L269" s="12" t="inlineStr">
        <is>
          <t>OB-19-003</t>
        </is>
      </c>
      <c r="M269" s="12" t="inlineStr"/>
      <c r="N269" s="12" t="inlineStr"/>
    </row>
    <row r="270">
      <c r="A270" s="10" t="n">
        <v>265</v>
      </c>
      <c r="B270" s="11">
        <f>IF(C270="Completo","☑",IF(C270="En progreso","◐","☐"))</f>
        <v/>
      </c>
      <c r="C270" s="10" t="inlineStr">
        <is>
          <t>Pendiente</t>
        </is>
      </c>
      <c r="D270" s="10" t="inlineStr">
        <is>
          <t>TRS-F09</t>
        </is>
      </c>
      <c r="E270" s="12" t="inlineStr">
        <is>
          <t>09 · Confianza y Seguridad</t>
        </is>
      </c>
      <c r="F270" s="10" t="inlineStr">
        <is>
          <t>Funcionalidad</t>
        </is>
      </c>
      <c r="G270" s="12" t="inlineStr">
        <is>
          <t>Resolver disputa con acción financiera</t>
        </is>
      </c>
      <c r="H270" s="15" t="inlineStr">
        <is>
          <t>Esencial</t>
        </is>
      </c>
      <c r="I270" s="10" t="inlineStr">
        <is>
          <t>V1</t>
        </is>
      </c>
      <c r="J270" s="10" t="n">
        <v>17</v>
      </c>
      <c r="K270" s="12" t="inlineStr">
        <is>
          <t>Soporte de la red</t>
        </is>
      </c>
      <c r="L270" s="12" t="inlineStr">
        <is>
          <t>OB-19-004</t>
        </is>
      </c>
      <c r="M270" s="12" t="inlineStr"/>
      <c r="N270" s="12" t="inlineStr"/>
    </row>
    <row r="271">
      <c r="A271" s="10" t="n">
        <v>266</v>
      </c>
      <c r="B271" s="11">
        <f>IF(C271="Completo","☑",IF(C271="En progreso","◐","☐"))</f>
        <v/>
      </c>
      <c r="C271" s="10" t="inlineStr">
        <is>
          <t>Pendiente</t>
        </is>
      </c>
      <c r="D271" s="10" t="inlineStr">
        <is>
          <t>TRS-F10</t>
        </is>
      </c>
      <c r="E271" s="12" t="inlineStr">
        <is>
          <t>09 · Confianza y Seguridad</t>
        </is>
      </c>
      <c r="F271" s="10" t="inlineStr">
        <is>
          <t>Funcionalidad</t>
        </is>
      </c>
      <c r="G271" s="12" t="inlineStr">
        <is>
          <t>Apelar resolución</t>
        </is>
      </c>
      <c r="H271" s="15" t="inlineStr">
        <is>
          <t>Esencial</t>
        </is>
      </c>
      <c r="I271" s="10" t="inlineStr">
        <is>
          <t>V1</t>
        </is>
      </c>
      <c r="J271" s="10" t="n">
        <v>17</v>
      </c>
      <c r="K271" s="12" t="inlineStr">
        <is>
          <t>Soporte de la red</t>
        </is>
      </c>
      <c r="L271" s="12" t="inlineStr">
        <is>
          <t>OB-19-005</t>
        </is>
      </c>
      <c r="M271" s="12" t="inlineStr"/>
      <c r="N271" s="12" t="inlineStr"/>
    </row>
    <row r="272">
      <c r="A272" s="10" t="n">
        <v>267</v>
      </c>
      <c r="B272" s="11">
        <f>IF(C272="Completo","☑",IF(C272="En progreso","◐","☐"))</f>
        <v/>
      </c>
      <c r="C272" s="10" t="inlineStr">
        <is>
          <t>Pendiente</t>
        </is>
      </c>
      <c r="D272" s="10" t="inlineStr">
        <is>
          <t>PAY-M04</t>
        </is>
      </c>
      <c r="E272" s="12" t="inlineStr">
        <is>
          <t>17 · Pagos y Finanzas</t>
        </is>
      </c>
      <c r="F272" s="10" t="inlineStr">
        <is>
          <t>Mantenimiento</t>
        </is>
      </c>
      <c r="G272" s="12" t="inlineStr">
        <is>
          <t>Montos sugeridos de propina</t>
        </is>
      </c>
      <c r="H272" s="15" t="inlineStr">
        <is>
          <t>Esencial</t>
        </is>
      </c>
      <c r="I272" s="10" t="inlineStr">
        <is>
          <t>V1</t>
        </is>
      </c>
      <c r="J272" s="10" t="n">
        <v>17</v>
      </c>
      <c r="K272" s="12" t="inlineStr">
        <is>
          <t>Dinero</t>
        </is>
      </c>
      <c r="L272" s="12" t="inlineStr">
        <is>
          <t>OB-17-007</t>
        </is>
      </c>
      <c r="M272" s="12" t="inlineStr"/>
      <c r="N272" s="12" t="inlineStr"/>
    </row>
    <row r="273">
      <c r="A273" s="10" t="n">
        <v>268</v>
      </c>
      <c r="B273" s="11">
        <f>IF(C273="Completo","☑",IF(C273="En progreso","◐","☐"))</f>
        <v/>
      </c>
      <c r="C273" s="10" t="inlineStr">
        <is>
          <t>Pendiente</t>
        </is>
      </c>
      <c r="D273" s="10" t="inlineStr">
        <is>
          <t>PAY-F10</t>
        </is>
      </c>
      <c r="E273" s="12" t="inlineStr">
        <is>
          <t>17 · Pagos y Finanzas</t>
        </is>
      </c>
      <c r="F273" s="10" t="inlineStr">
        <is>
          <t>Funcionalidad</t>
        </is>
      </c>
      <c r="G273" s="12" t="inlineStr">
        <is>
          <t>Autorización y captura diferida</t>
        </is>
      </c>
      <c r="H273" s="15" t="inlineStr">
        <is>
          <t>Esencial</t>
        </is>
      </c>
      <c r="I273" s="10" t="inlineStr">
        <is>
          <t>V1</t>
        </is>
      </c>
      <c r="J273" s="10" t="n">
        <v>17</v>
      </c>
      <c r="K273" s="12" t="inlineStr">
        <is>
          <t>Dinero</t>
        </is>
      </c>
      <c r="L273" s="12" t="inlineStr">
        <is>
          <t>OB-17-005</t>
        </is>
      </c>
      <c r="M273" s="12" t="inlineStr"/>
      <c r="N273" s="12" t="inlineStr"/>
    </row>
    <row r="274">
      <c r="A274" s="10" t="n">
        <v>269</v>
      </c>
      <c r="B274" s="11">
        <f>IF(C274="Completo","☑",IF(C274="En progreso","◐","☐"))</f>
        <v/>
      </c>
      <c r="C274" s="10" t="inlineStr">
        <is>
          <t>Pendiente</t>
        </is>
      </c>
      <c r="D274" s="10" t="inlineStr">
        <is>
          <t>PAY-F11</t>
        </is>
      </c>
      <c r="E274" s="12" t="inlineStr">
        <is>
          <t>17 · Pagos y Finanzas</t>
        </is>
      </c>
      <c r="F274" s="10" t="inlineStr">
        <is>
          <t>Funcionalidad</t>
        </is>
      </c>
      <c r="G274" s="12" t="inlineStr">
        <is>
          <t>Propinas</t>
        </is>
      </c>
      <c r="H274" s="15" t="inlineStr">
        <is>
          <t>Esencial</t>
        </is>
      </c>
      <c r="I274" s="10" t="inlineStr">
        <is>
          <t>V1</t>
        </is>
      </c>
      <c r="J274" s="10" t="n">
        <v>17</v>
      </c>
      <c r="K274" s="12" t="inlineStr">
        <is>
          <t>Dinero</t>
        </is>
      </c>
      <c r="L274" s="12" t="inlineStr">
        <is>
          <t>OB-17-007</t>
        </is>
      </c>
      <c r="M274" s="12" t="inlineStr"/>
      <c r="N274" s="12" t="inlineStr"/>
    </row>
    <row r="275">
      <c r="A275" s="10" t="n">
        <v>270</v>
      </c>
      <c r="B275" s="11">
        <f>IF(C275="Completo","☑",IF(C275="En progreso","◐","☐"))</f>
        <v/>
      </c>
      <c r="C275" s="10" t="inlineStr">
        <is>
          <t>Pendiente</t>
        </is>
      </c>
      <c r="D275" s="10" t="inlineStr">
        <is>
          <t>PAY-F12</t>
        </is>
      </c>
      <c r="E275" s="12" t="inlineStr">
        <is>
          <t>17 · Pagos y Finanzas</t>
        </is>
      </c>
      <c r="F275" s="10" t="inlineStr">
        <is>
          <t>Funcionalidad</t>
        </is>
      </c>
      <c r="G275" s="12" t="inlineStr">
        <is>
          <t>Conciliación con el proveedor</t>
        </is>
      </c>
      <c r="H275" s="15" t="inlineStr">
        <is>
          <t>Esencial</t>
        </is>
      </c>
      <c r="I275" s="10" t="inlineStr">
        <is>
          <t>V1</t>
        </is>
      </c>
      <c r="J275" s="10" t="n">
        <v>17</v>
      </c>
      <c r="K275" s="12" t="inlineStr">
        <is>
          <t>Dinero</t>
        </is>
      </c>
      <c r="L275" s="12" t="inlineStr">
        <is>
          <t>OB-45-002</t>
        </is>
      </c>
      <c r="M275" s="12" t="inlineStr"/>
      <c r="N275" s="12" t="inlineStr"/>
    </row>
    <row r="276">
      <c r="A276" s="10" t="n">
        <v>271</v>
      </c>
      <c r="B276" s="11">
        <f>IF(C276="Completo","☑",IF(C276="En progreso","◐","☐"))</f>
        <v/>
      </c>
      <c r="C276" s="10" t="inlineStr">
        <is>
          <t>Pendiente</t>
        </is>
      </c>
      <c r="D276" s="10" t="inlineStr">
        <is>
          <t>MON-F05</t>
        </is>
      </c>
      <c r="E276" s="12" t="inlineStr">
        <is>
          <t>18 · Monetización y Publicidad</t>
        </is>
      </c>
      <c r="F276" s="10" t="inlineStr">
        <is>
          <t>Funcionalidad</t>
        </is>
      </c>
      <c r="G276" s="12" t="inlineStr">
        <is>
          <t>Exportación contable</t>
        </is>
      </c>
      <c r="H276" s="15" t="inlineStr">
        <is>
          <t>Esencial</t>
        </is>
      </c>
      <c r="I276" s="10" t="inlineStr">
        <is>
          <t>V1</t>
        </is>
      </c>
      <c r="J276" s="10" t="n">
        <v>17</v>
      </c>
      <c r="K276" s="12" t="inlineStr">
        <is>
          <t>Dinero</t>
        </is>
      </c>
      <c r="L276" s="12" t="inlineStr">
        <is>
          <t>OB-45-002</t>
        </is>
      </c>
      <c r="M276" s="12" t="inlineStr"/>
      <c r="N276" s="12" t="inlineStr"/>
    </row>
    <row r="277">
      <c r="A277" s="6" t="n">
        <v>272</v>
      </c>
      <c r="B277" s="7">
        <f>IF(C277="Completo","☑",IF(C277="En progreso","◐","☐"))</f>
        <v/>
      </c>
      <c r="C277" s="6" t="inlineStr">
        <is>
          <t>Pendiente</t>
        </is>
      </c>
      <c r="D277" s="6" t="inlineStr">
        <is>
          <t>MKT-M01</t>
        </is>
      </c>
      <c r="E277" s="8" t="inlineStr">
        <is>
          <t>16 · Promociones y Precios</t>
        </is>
      </c>
      <c r="F277" s="6" t="inlineStr">
        <is>
          <t>Mantenimiento</t>
        </is>
      </c>
      <c r="G277" s="8" t="inlineStr">
        <is>
          <t>Límites globales de descuento</t>
        </is>
      </c>
      <c r="H277" s="14" t="inlineStr">
        <is>
          <t>Esencial</t>
        </is>
      </c>
      <c r="I277" s="6" t="inlineStr">
        <is>
          <t>V1</t>
        </is>
      </c>
      <c r="J277" s="6" t="n">
        <v>18</v>
      </c>
      <c r="K277" s="8" t="inlineStr">
        <is>
          <t>Marketplace</t>
        </is>
      </c>
      <c r="L277" s="8" t="inlineStr">
        <is>
          <t>OB-23-001</t>
        </is>
      </c>
      <c r="M277" s="8" t="inlineStr"/>
      <c r="N277" s="8" t="inlineStr"/>
    </row>
    <row r="278">
      <c r="A278" s="6" t="n">
        <v>273</v>
      </c>
      <c r="B278" s="7">
        <f>IF(C278="Completo","☑",IF(C278="En progreso","◐","☐"))</f>
        <v/>
      </c>
      <c r="C278" s="6" t="inlineStr">
        <is>
          <t>Pendiente</t>
        </is>
      </c>
      <c r="D278" s="6" t="inlineStr">
        <is>
          <t>MKT-F01</t>
        </is>
      </c>
      <c r="E278" s="8" t="inlineStr">
        <is>
          <t>16 · Promociones y Precios</t>
        </is>
      </c>
      <c r="F278" s="6" t="inlineStr">
        <is>
          <t>Funcionalidad</t>
        </is>
      </c>
      <c r="G278" s="8" t="inlineStr">
        <is>
          <t>Crear promoción</t>
        </is>
      </c>
      <c r="H278" s="14" t="inlineStr">
        <is>
          <t>Esencial</t>
        </is>
      </c>
      <c r="I278" s="6" t="inlineStr">
        <is>
          <t>V1</t>
        </is>
      </c>
      <c r="J278" s="6" t="n">
        <v>18</v>
      </c>
      <c r="K278" s="8" t="inlineStr">
        <is>
          <t>Marketplace</t>
        </is>
      </c>
      <c r="L278" s="8" t="inlineStr">
        <is>
          <t>OB-23-001</t>
        </is>
      </c>
      <c r="M278" s="8" t="inlineStr"/>
      <c r="N278" s="8" t="inlineStr"/>
    </row>
    <row r="279">
      <c r="A279" s="6" t="n">
        <v>274</v>
      </c>
      <c r="B279" s="7">
        <f>IF(C279="Completo","☑",IF(C279="En progreso","◐","☐"))</f>
        <v/>
      </c>
      <c r="C279" s="6" t="inlineStr">
        <is>
          <t>Pendiente</t>
        </is>
      </c>
      <c r="D279" s="6" t="inlineStr">
        <is>
          <t>MKT-F02</t>
        </is>
      </c>
      <c r="E279" s="8" t="inlineStr">
        <is>
          <t>16 · Promociones y Precios</t>
        </is>
      </c>
      <c r="F279" s="6" t="inlineStr">
        <is>
          <t>Funcionalidad</t>
        </is>
      </c>
      <c r="G279" s="8" t="inlineStr">
        <is>
          <t>Vigencia</t>
        </is>
      </c>
      <c r="H279" s="14" t="inlineStr">
        <is>
          <t>Esencial</t>
        </is>
      </c>
      <c r="I279" s="6" t="inlineStr">
        <is>
          <t>V1</t>
        </is>
      </c>
      <c r="J279" s="6" t="n">
        <v>18</v>
      </c>
      <c r="K279" s="8" t="inlineStr">
        <is>
          <t>Marketplace</t>
        </is>
      </c>
      <c r="L279" s="8" t="inlineStr">
        <is>
          <t>OB-23-002</t>
        </is>
      </c>
      <c r="M279" s="8" t="inlineStr"/>
      <c r="N279" s="8" t="inlineStr"/>
    </row>
    <row r="280">
      <c r="A280" s="6" t="n">
        <v>275</v>
      </c>
      <c r="B280" s="7">
        <f>IF(C280="Completo","☑",IF(C280="En progreso","◐","☐"))</f>
        <v/>
      </c>
      <c r="C280" s="6" t="inlineStr">
        <is>
          <t>Pendiente</t>
        </is>
      </c>
      <c r="D280" s="6" t="inlineStr">
        <is>
          <t>MKT-F03</t>
        </is>
      </c>
      <c r="E280" s="8" t="inlineStr">
        <is>
          <t>16 · Promociones y Precios</t>
        </is>
      </c>
      <c r="F280" s="6" t="inlineStr">
        <is>
          <t>Funcionalidad</t>
        </is>
      </c>
      <c r="G280" s="8" t="inlineStr">
        <is>
          <t>Servicios aplicables</t>
        </is>
      </c>
      <c r="H280" s="14" t="inlineStr">
        <is>
          <t>Esencial</t>
        </is>
      </c>
      <c r="I280" s="6" t="inlineStr">
        <is>
          <t>V1</t>
        </is>
      </c>
      <c r="J280" s="6" t="n">
        <v>18</v>
      </c>
      <c r="K280" s="8" t="inlineStr">
        <is>
          <t>Marketplace</t>
        </is>
      </c>
      <c r="L280" s="8" t="inlineStr">
        <is>
          <t>OB-23-003</t>
        </is>
      </c>
      <c r="M280" s="8" t="inlineStr"/>
      <c r="N280" s="8" t="inlineStr"/>
    </row>
    <row r="281">
      <c r="A281" s="6" t="n">
        <v>276</v>
      </c>
      <c r="B281" s="7">
        <f>IF(C281="Completo","☑",IF(C281="En progreso","◐","☐"))</f>
        <v/>
      </c>
      <c r="C281" s="6" t="inlineStr">
        <is>
          <t>Pendiente</t>
        </is>
      </c>
      <c r="D281" s="6" t="inlineStr">
        <is>
          <t>MKT-F04</t>
        </is>
      </c>
      <c r="E281" s="8" t="inlineStr">
        <is>
          <t>16 · Promociones y Precios</t>
        </is>
      </c>
      <c r="F281" s="6" t="inlineStr">
        <is>
          <t>Funcionalidad</t>
        </is>
      </c>
      <c r="G281" s="8" t="inlineStr">
        <is>
          <t>Límite de usos</t>
        </is>
      </c>
      <c r="H281" s="14" t="inlineStr">
        <is>
          <t>Esencial</t>
        </is>
      </c>
      <c r="I281" s="6" t="inlineStr">
        <is>
          <t>V1</t>
        </is>
      </c>
      <c r="J281" s="6" t="n">
        <v>18</v>
      </c>
      <c r="K281" s="8" t="inlineStr">
        <is>
          <t>Marketplace</t>
        </is>
      </c>
      <c r="L281" s="8" t="inlineStr">
        <is>
          <t>OB-23-004</t>
        </is>
      </c>
      <c r="M281" s="8" t="inlineStr"/>
      <c r="N281" s="8" t="inlineStr"/>
    </row>
    <row r="282">
      <c r="A282" s="6" t="n">
        <v>277</v>
      </c>
      <c r="B282" s="7">
        <f>IF(C282="Completo","☑",IF(C282="En progreso","◐","☐"))</f>
        <v/>
      </c>
      <c r="C282" s="6" t="inlineStr">
        <is>
          <t>Pendiente</t>
        </is>
      </c>
      <c r="D282" s="6" t="inlineStr">
        <is>
          <t>MKT-F05</t>
        </is>
      </c>
      <c r="E282" s="8" t="inlineStr">
        <is>
          <t>16 · Promociones y Precios</t>
        </is>
      </c>
      <c r="F282" s="6" t="inlineStr">
        <is>
          <t>Funcionalidad</t>
        </is>
      </c>
      <c r="G282" s="8" t="inlineStr">
        <is>
          <t>Cupones</t>
        </is>
      </c>
      <c r="H282" s="14" t="inlineStr">
        <is>
          <t>Esencial</t>
        </is>
      </c>
      <c r="I282" s="6" t="inlineStr">
        <is>
          <t>V1</t>
        </is>
      </c>
      <c r="J282" s="6" t="n">
        <v>18</v>
      </c>
      <c r="K282" s="8" t="inlineStr">
        <is>
          <t>Marketplace</t>
        </is>
      </c>
      <c r="L282" s="8" t="inlineStr">
        <is>
          <t>OB-23-005</t>
        </is>
      </c>
      <c r="M282" s="8" t="inlineStr"/>
      <c r="N282" s="8" t="inlineStr"/>
    </row>
    <row r="283">
      <c r="A283" s="6" t="n">
        <v>278</v>
      </c>
      <c r="B283" s="7">
        <f>IF(C283="Completo","☑",IF(C283="En progreso","◐","☐"))</f>
        <v/>
      </c>
      <c r="C283" s="6" t="inlineStr">
        <is>
          <t>Pendiente</t>
        </is>
      </c>
      <c r="D283" s="6" t="inlineStr">
        <is>
          <t>MKT-F06</t>
        </is>
      </c>
      <c r="E283" s="8" t="inlineStr">
        <is>
          <t>16 · Promociones y Precios</t>
        </is>
      </c>
      <c r="F283" s="6" t="inlineStr">
        <is>
          <t>Funcionalidad</t>
        </is>
      </c>
      <c r="G283" s="8" t="inlineStr">
        <is>
          <t>Flash sale</t>
        </is>
      </c>
      <c r="H283" s="14" t="inlineStr">
        <is>
          <t>Esencial</t>
        </is>
      </c>
      <c r="I283" s="6" t="inlineStr">
        <is>
          <t>V1</t>
        </is>
      </c>
      <c r="J283" s="6" t="n">
        <v>18</v>
      </c>
      <c r="K283" s="8" t="inlineStr">
        <is>
          <t>Marketplace</t>
        </is>
      </c>
      <c r="L283" s="8" t="inlineStr">
        <is>
          <t>OB-23-006</t>
        </is>
      </c>
      <c r="M283" s="8" t="inlineStr"/>
      <c r="N283" s="8" t="inlineStr"/>
    </row>
    <row r="284">
      <c r="A284" s="6" t="n">
        <v>279</v>
      </c>
      <c r="B284" s="7">
        <f>IF(C284="Completo","☑",IF(C284="En progreso","◐","☐"))</f>
        <v/>
      </c>
      <c r="C284" s="6" t="inlineStr">
        <is>
          <t>Pendiente</t>
        </is>
      </c>
      <c r="D284" s="6" t="inlineStr">
        <is>
          <t>PAY-M05</t>
        </is>
      </c>
      <c r="E284" s="8" t="inlineStr">
        <is>
          <t>17 · Pagos y Finanzas</t>
        </is>
      </c>
      <c r="F284" s="6" t="inlineStr">
        <is>
          <t>Mantenimiento</t>
        </is>
      </c>
      <c r="G284" s="8" t="inlineStr">
        <is>
          <t>Reglas y calendario de payouts</t>
        </is>
      </c>
      <c r="H284" s="14" t="inlineStr">
        <is>
          <t>Esencial</t>
        </is>
      </c>
      <c r="I284" s="6" t="inlineStr">
        <is>
          <t>V1</t>
        </is>
      </c>
      <c r="J284" s="6" t="n">
        <v>18</v>
      </c>
      <c r="K284" s="8" t="inlineStr">
        <is>
          <t>Dinero</t>
        </is>
      </c>
      <c r="L284" s="8" t="inlineStr">
        <is>
          <t>OB-46</t>
        </is>
      </c>
      <c r="M284" s="8" t="inlineStr"/>
      <c r="N284" s="8" t="inlineStr"/>
    </row>
    <row r="285">
      <c r="A285" s="6" t="n">
        <v>280</v>
      </c>
      <c r="B285" s="7">
        <f>IF(C285="Completo","☑",IF(C285="En progreso","◐","☐"))</f>
        <v/>
      </c>
      <c r="C285" s="6" t="inlineStr">
        <is>
          <t>Pendiente</t>
        </is>
      </c>
      <c r="D285" s="6" t="inlineStr">
        <is>
          <t>PAY-F13</t>
        </is>
      </c>
      <c r="E285" s="8" t="inlineStr">
        <is>
          <t>17 · Pagos y Finanzas</t>
        </is>
      </c>
      <c r="F285" s="6" t="inlineStr">
        <is>
          <t>Funcionalidad</t>
        </is>
      </c>
      <c r="G285" s="8" t="inlineStr">
        <is>
          <t>Cuenta de cobro del profesional</t>
        </is>
      </c>
      <c r="H285" s="14" t="inlineStr">
        <is>
          <t>Esencial</t>
        </is>
      </c>
      <c r="I285" s="6" t="inlineStr">
        <is>
          <t>V1</t>
        </is>
      </c>
      <c r="J285" s="6" t="n">
        <v>18</v>
      </c>
      <c r="K285" s="8" t="inlineStr">
        <is>
          <t>Dinero</t>
        </is>
      </c>
      <c r="L285" s="8" t="inlineStr">
        <is>
          <t>OB-46-001</t>
        </is>
      </c>
      <c r="M285" s="8" t="inlineStr"/>
      <c r="N285" s="8" t="inlineStr"/>
    </row>
    <row r="286">
      <c r="A286" s="6" t="n">
        <v>281</v>
      </c>
      <c r="B286" s="7">
        <f>IF(C286="Completo","☑",IF(C286="En progreso","◐","☐"))</f>
        <v/>
      </c>
      <c r="C286" s="6" t="inlineStr">
        <is>
          <t>Pendiente</t>
        </is>
      </c>
      <c r="D286" s="6" t="inlineStr">
        <is>
          <t>PAY-F14</t>
        </is>
      </c>
      <c r="E286" s="8" t="inlineStr">
        <is>
          <t>17 · Pagos y Finanzas</t>
        </is>
      </c>
      <c r="F286" s="6" t="inlineStr">
        <is>
          <t>Funcionalidad</t>
        </is>
      </c>
      <c r="G286" s="8" t="inlineStr">
        <is>
          <t>Balance del profesional</t>
        </is>
      </c>
      <c r="H286" s="14" t="inlineStr">
        <is>
          <t>Esencial</t>
        </is>
      </c>
      <c r="I286" s="6" t="inlineStr">
        <is>
          <t>V1</t>
        </is>
      </c>
      <c r="J286" s="6" t="n">
        <v>18</v>
      </c>
      <c r="K286" s="8" t="inlineStr">
        <is>
          <t>Dinero</t>
        </is>
      </c>
      <c r="L286" s="8" t="inlineStr">
        <is>
          <t>OB-46-002</t>
        </is>
      </c>
      <c r="M286" s="8" t="inlineStr"/>
      <c r="N286" s="8" t="inlineStr"/>
    </row>
    <row r="287">
      <c r="A287" s="6" t="n">
        <v>282</v>
      </c>
      <c r="B287" s="7">
        <f>IF(C287="Completo","☑",IF(C287="En progreso","◐","☐"))</f>
        <v/>
      </c>
      <c r="C287" s="6" t="inlineStr">
        <is>
          <t>Pendiente</t>
        </is>
      </c>
      <c r="D287" s="6" t="inlineStr">
        <is>
          <t>PAY-F15</t>
        </is>
      </c>
      <c r="E287" s="8" t="inlineStr">
        <is>
          <t>17 · Pagos y Finanzas</t>
        </is>
      </c>
      <c r="F287" s="6" t="inlineStr">
        <is>
          <t>Funcionalidad</t>
        </is>
      </c>
      <c r="G287" s="8" t="inlineStr">
        <is>
          <t>Procesar payouts</t>
        </is>
      </c>
      <c r="H287" s="14" t="inlineStr">
        <is>
          <t>Esencial</t>
        </is>
      </c>
      <c r="I287" s="6" t="inlineStr">
        <is>
          <t>V1</t>
        </is>
      </c>
      <c r="J287" s="6" t="n">
        <v>18</v>
      </c>
      <c r="K287" s="8" t="inlineStr">
        <is>
          <t>Dinero</t>
        </is>
      </c>
      <c r="L287" s="8" t="inlineStr">
        <is>
          <t>OB-46-003</t>
        </is>
      </c>
      <c r="M287" s="8" t="inlineStr"/>
      <c r="N287" s="8" t="inlineStr"/>
    </row>
    <row r="288">
      <c r="A288" s="6" t="n">
        <v>283</v>
      </c>
      <c r="B288" s="7">
        <f>IF(C288="Completo","☑",IF(C288="En progreso","◐","☐"))</f>
        <v/>
      </c>
      <c r="C288" s="6" t="inlineStr">
        <is>
          <t>Pendiente</t>
        </is>
      </c>
      <c r="D288" s="6" t="inlineStr">
        <is>
          <t>PAY-F16</t>
        </is>
      </c>
      <c r="E288" s="8" t="inlineStr">
        <is>
          <t>17 · Pagos y Finanzas</t>
        </is>
      </c>
      <c r="F288" s="6" t="inlineStr">
        <is>
          <t>Funcionalidad</t>
        </is>
      </c>
      <c r="G288" s="8" t="inlineStr">
        <is>
          <t>Historial de payouts</t>
        </is>
      </c>
      <c r="H288" s="14" t="inlineStr">
        <is>
          <t>Esencial</t>
        </is>
      </c>
      <c r="I288" s="6" t="inlineStr">
        <is>
          <t>V1</t>
        </is>
      </c>
      <c r="J288" s="6" t="n">
        <v>18</v>
      </c>
      <c r="K288" s="8" t="inlineStr">
        <is>
          <t>Dinero</t>
        </is>
      </c>
      <c r="L288" s="8" t="inlineStr">
        <is>
          <t>OB-46-004</t>
        </is>
      </c>
      <c r="M288" s="8" t="inlineStr"/>
      <c r="N288" s="8" t="inlineStr"/>
    </row>
    <row r="289">
      <c r="A289" s="6" t="n">
        <v>284</v>
      </c>
      <c r="B289" s="7">
        <f>IF(C289="Completo","☑",IF(C289="En progreso","◐","☐"))</f>
        <v/>
      </c>
      <c r="C289" s="6" t="inlineStr">
        <is>
          <t>Pendiente</t>
        </is>
      </c>
      <c r="D289" s="6" t="inlineStr">
        <is>
          <t>MON-F06</t>
        </is>
      </c>
      <c r="E289" s="8" t="inlineStr">
        <is>
          <t>18 · Monetización y Publicidad</t>
        </is>
      </c>
      <c r="F289" s="6" t="inlineStr">
        <is>
          <t>Funcionalidad</t>
        </is>
      </c>
      <c r="G289" s="8" t="inlineStr">
        <is>
          <t>Suscripción de pago (renovación, cambio de plan, reintentos)</t>
        </is>
      </c>
      <c r="H289" s="14" t="inlineStr">
        <is>
          <t>Esencial</t>
        </is>
      </c>
      <c r="I289" s="6" t="inlineStr">
        <is>
          <t>V1</t>
        </is>
      </c>
      <c r="J289" s="6" t="n">
        <v>18</v>
      </c>
      <c r="K289" s="8" t="inlineStr">
        <is>
          <t>Dinero</t>
        </is>
      </c>
      <c r="L289" s="8" t="inlineStr">
        <is>
          <t>§3.2</t>
        </is>
      </c>
      <c r="M289" s="8" t="inlineStr"/>
      <c r="N289" s="8" t="inlineStr"/>
    </row>
    <row r="290">
      <c r="A290" s="6" t="n">
        <v>285</v>
      </c>
      <c r="B290" s="7">
        <f>IF(C290="Completo","☑",IF(C290="En progreso","◐","☐"))</f>
        <v/>
      </c>
      <c r="C290" s="6" t="inlineStr">
        <is>
          <t>Pendiente</t>
        </is>
      </c>
      <c r="D290" s="6" t="inlineStr">
        <is>
          <t>LOY-M01</t>
        </is>
      </c>
      <c r="E290" s="8" t="inlineStr">
        <is>
          <t>19 · Wallet y Fidelización</t>
        </is>
      </c>
      <c r="F290" s="6" t="inlineStr">
        <is>
          <t>Mantenimiento</t>
        </is>
      </c>
      <c r="G290" s="8" t="inlineStr">
        <is>
          <t>Tipos de crédito y expiración</t>
        </is>
      </c>
      <c r="H290" s="14" t="inlineStr">
        <is>
          <t>Esencial</t>
        </is>
      </c>
      <c r="I290" s="6" t="inlineStr">
        <is>
          <t>V1</t>
        </is>
      </c>
      <c r="J290" s="6" t="n">
        <v>18</v>
      </c>
      <c r="K290" s="8" t="inlineStr">
        <is>
          <t>Dinero</t>
        </is>
      </c>
      <c r="L290" s="8" t="inlineStr">
        <is>
          <t>OB-18</t>
        </is>
      </c>
      <c r="M290" s="8" t="inlineStr"/>
      <c r="N290" s="8" t="inlineStr"/>
    </row>
    <row r="291">
      <c r="A291" s="6" t="n">
        <v>286</v>
      </c>
      <c r="B291" s="7">
        <f>IF(C291="Completo","☑",IF(C291="En progreso","◐","☐"))</f>
        <v/>
      </c>
      <c r="C291" s="6" t="inlineStr">
        <is>
          <t>Pendiente</t>
        </is>
      </c>
      <c r="D291" s="6" t="inlineStr">
        <is>
          <t>LOY-M02</t>
        </is>
      </c>
      <c r="E291" s="8" t="inlineStr">
        <is>
          <t>19 · Wallet y Fidelización</t>
        </is>
      </c>
      <c r="F291" s="6" t="inlineStr">
        <is>
          <t>Mantenimiento</t>
        </is>
      </c>
      <c r="G291" s="8" t="inlineStr">
        <is>
          <t>Denominaciones de gift card</t>
        </is>
      </c>
      <c r="H291" s="14" t="inlineStr">
        <is>
          <t>Esencial</t>
        </is>
      </c>
      <c r="I291" s="6" t="inlineStr">
        <is>
          <t>V1</t>
        </is>
      </c>
      <c r="J291" s="6" t="n">
        <v>18</v>
      </c>
      <c r="K291" s="8" t="inlineStr">
        <is>
          <t>Dinero</t>
        </is>
      </c>
      <c r="L291" s="8" t="inlineStr">
        <is>
          <t>OB-18-003</t>
        </is>
      </c>
      <c r="M291" s="8" t="inlineStr"/>
      <c r="N291" s="8" t="inlineStr"/>
    </row>
    <row r="292">
      <c r="A292" s="6" t="n">
        <v>287</v>
      </c>
      <c r="B292" s="7">
        <f>IF(C292="Completo","☑",IF(C292="En progreso","◐","☐"))</f>
        <v/>
      </c>
      <c r="C292" s="6" t="inlineStr">
        <is>
          <t>Pendiente</t>
        </is>
      </c>
      <c r="D292" s="6" t="inlineStr">
        <is>
          <t>LOY-F01</t>
        </is>
      </c>
      <c r="E292" s="8" t="inlineStr">
        <is>
          <t>19 · Wallet y Fidelización</t>
        </is>
      </c>
      <c r="F292" s="6" t="inlineStr">
        <is>
          <t>Funcionalidad</t>
        </is>
      </c>
      <c r="G292" s="8" t="inlineStr">
        <is>
          <t>Historial del wallet</t>
        </is>
      </c>
      <c r="H292" s="14" t="inlineStr">
        <is>
          <t>Esencial</t>
        </is>
      </c>
      <c r="I292" s="6" t="inlineStr">
        <is>
          <t>V1</t>
        </is>
      </c>
      <c r="J292" s="6" t="n">
        <v>18</v>
      </c>
      <c r="K292" s="8" t="inlineStr">
        <is>
          <t>Dinero</t>
        </is>
      </c>
      <c r="L292" s="8" t="inlineStr">
        <is>
          <t>OB-18-001</t>
        </is>
      </c>
      <c r="M292" s="8" t="inlineStr"/>
      <c r="N292" s="8" t="inlineStr"/>
    </row>
    <row r="293">
      <c r="A293" s="6" t="n">
        <v>288</v>
      </c>
      <c r="B293" s="7">
        <f>IF(C293="Completo","☑",IF(C293="En progreso","◐","☐"))</f>
        <v/>
      </c>
      <c r="C293" s="6" t="inlineStr">
        <is>
          <t>Pendiente</t>
        </is>
      </c>
      <c r="D293" s="6" t="inlineStr">
        <is>
          <t>LOY-F02</t>
        </is>
      </c>
      <c r="E293" s="8" t="inlineStr">
        <is>
          <t>19 · Wallet y Fidelización</t>
        </is>
      </c>
      <c r="F293" s="6" t="inlineStr">
        <is>
          <t>Funcionalidad</t>
        </is>
      </c>
      <c r="G293" s="8" t="inlineStr">
        <is>
          <t>Aplicar crédito</t>
        </is>
      </c>
      <c r="H293" s="14" t="inlineStr">
        <is>
          <t>Esencial</t>
        </is>
      </c>
      <c r="I293" s="6" t="inlineStr">
        <is>
          <t>V1</t>
        </is>
      </c>
      <c r="J293" s="6" t="n">
        <v>18</v>
      </c>
      <c r="K293" s="8" t="inlineStr">
        <is>
          <t>Dinero</t>
        </is>
      </c>
      <c r="L293" s="8" t="inlineStr">
        <is>
          <t>OB-18-002</t>
        </is>
      </c>
      <c r="M293" s="8" t="inlineStr"/>
      <c r="N293" s="8" t="inlineStr"/>
    </row>
    <row r="294">
      <c r="A294" s="6" t="n">
        <v>289</v>
      </c>
      <c r="B294" s="7">
        <f>IF(C294="Completo","☑",IF(C294="En progreso","◐","☐"))</f>
        <v/>
      </c>
      <c r="C294" s="6" t="inlineStr">
        <is>
          <t>Pendiente</t>
        </is>
      </c>
      <c r="D294" s="6" t="inlineStr">
        <is>
          <t>LOY-F03</t>
        </is>
      </c>
      <c r="E294" s="8" t="inlineStr">
        <is>
          <t>19 · Wallet y Fidelización</t>
        </is>
      </c>
      <c r="F294" s="6" t="inlineStr">
        <is>
          <t>Funcionalidad</t>
        </is>
      </c>
      <c r="G294" s="8" t="inlineStr">
        <is>
          <t>Gift cards</t>
        </is>
      </c>
      <c r="H294" s="14" t="inlineStr">
        <is>
          <t>Esencial</t>
        </is>
      </c>
      <c r="I294" s="6" t="inlineStr">
        <is>
          <t>V1</t>
        </is>
      </c>
      <c r="J294" s="6" t="n">
        <v>18</v>
      </c>
      <c r="K294" s="8" t="inlineStr">
        <is>
          <t>Dinero</t>
        </is>
      </c>
      <c r="L294" s="8" t="inlineStr">
        <is>
          <t>OB-18-003</t>
        </is>
      </c>
      <c r="M294" s="8" t="inlineStr"/>
      <c r="N294" s="8" t="inlineStr"/>
    </row>
    <row r="295">
      <c r="A295" s="6" t="n">
        <v>290</v>
      </c>
      <c r="B295" s="7">
        <f>IF(C295="Completo","☑",IF(C295="En progreso","◐","☐"))</f>
        <v/>
      </c>
      <c r="C295" s="6" t="inlineStr">
        <is>
          <t>Pendiente</t>
        </is>
      </c>
      <c r="D295" s="6" t="inlineStr">
        <is>
          <t>LOY-F04</t>
        </is>
      </c>
      <c r="E295" s="8" t="inlineStr">
        <is>
          <t>19 · Wallet y Fidelización</t>
        </is>
      </c>
      <c r="F295" s="6" t="inlineStr">
        <is>
          <t>Funcionalidad</t>
        </is>
      </c>
      <c r="G295" s="8" t="inlineStr">
        <is>
          <t>Canje de cupones</t>
        </is>
      </c>
      <c r="H295" s="14" t="inlineStr">
        <is>
          <t>Esencial</t>
        </is>
      </c>
      <c r="I295" s="6" t="inlineStr">
        <is>
          <t>V1</t>
        </is>
      </c>
      <c r="J295" s="6" t="n">
        <v>18</v>
      </c>
      <c r="K295" s="8" t="inlineStr">
        <is>
          <t>Dinero</t>
        </is>
      </c>
      <c r="L295" s="8" t="inlineStr">
        <is>
          <t>OB-18-004</t>
        </is>
      </c>
      <c r="M295" s="8" t="inlineStr"/>
      <c r="N295" s="8" t="inlineStr"/>
    </row>
    <row r="296">
      <c r="A296" s="10" t="n">
        <v>291</v>
      </c>
      <c r="B296" s="11">
        <f>IF(C296="Completo","☑",IF(C296="En progreso","◐","☐"))</f>
        <v/>
      </c>
      <c r="C296" s="10" t="inlineStr">
        <is>
          <t>Pendiente</t>
        </is>
      </c>
      <c r="D296" s="10" t="inlineStr">
        <is>
          <t>ACC-F14</t>
        </is>
      </c>
      <c r="E296" s="12" t="inlineStr">
        <is>
          <t>01 · Identidad y Cuentas</t>
        </is>
      </c>
      <c r="F296" s="10" t="inlineStr">
        <is>
          <t>Funcionalidad</t>
        </is>
      </c>
      <c r="G296" s="12" t="inlineStr">
        <is>
          <t>Exportar mis datos</t>
        </is>
      </c>
      <c r="H296" s="15" t="inlineStr">
        <is>
          <t>Esencial</t>
        </is>
      </c>
      <c r="I296" s="10" t="inlineStr">
        <is>
          <t>V1</t>
        </is>
      </c>
      <c r="J296" s="10" t="n">
        <v>19</v>
      </c>
      <c r="K296" s="12" t="inlineStr">
        <is>
          <t>Red social</t>
        </is>
      </c>
      <c r="L296" s="12" t="inlineStr">
        <is>
          <t>OB-48-001</t>
        </is>
      </c>
      <c r="M296" s="12" t="inlineStr"/>
      <c r="N296" s="12" t="inlineStr"/>
    </row>
    <row r="297">
      <c r="A297" s="10" t="n">
        <v>292</v>
      </c>
      <c r="B297" s="11">
        <f>IF(C297="Completo","☑",IF(C297="En progreso","◐","☐"))</f>
        <v/>
      </c>
      <c r="C297" s="10" t="inlineStr">
        <is>
          <t>Pendiente</t>
        </is>
      </c>
      <c r="D297" s="10" t="inlineStr">
        <is>
          <t>ACC-F15</t>
        </is>
      </c>
      <c r="E297" s="12" t="inlineStr">
        <is>
          <t>01 · Identidad y Cuentas</t>
        </is>
      </c>
      <c r="F297" s="10" t="inlineStr">
        <is>
          <t>Funcionalidad</t>
        </is>
      </c>
      <c r="G297" s="12" t="inlineStr">
        <is>
          <t>Eliminar cuenta (anonimización + retenciones legales)</t>
        </is>
      </c>
      <c r="H297" s="15" t="inlineStr">
        <is>
          <t>Esencial</t>
        </is>
      </c>
      <c r="I297" s="10" t="inlineStr">
        <is>
          <t>V1</t>
        </is>
      </c>
      <c r="J297" s="10" t="n">
        <v>19</v>
      </c>
      <c r="K297" s="12" t="inlineStr">
        <is>
          <t>Red social</t>
        </is>
      </c>
      <c r="L297" s="12" t="inlineStr">
        <is>
          <t>OB-48-002</t>
        </is>
      </c>
      <c r="M297" s="12" t="inlineStr"/>
      <c r="N297" s="12" t="inlineStr"/>
    </row>
    <row r="298">
      <c r="A298" s="10" t="n">
        <v>293</v>
      </c>
      <c r="B298" s="11">
        <f>IF(C298="Completo","☑",IF(C298="En progreso","◐","☐"))</f>
        <v/>
      </c>
      <c r="C298" s="10" t="inlineStr">
        <is>
          <t>En progreso</t>
        </is>
      </c>
      <c r="D298" s="10" t="inlineStr">
        <is>
          <t>ACC-F16</t>
        </is>
      </c>
      <c r="E298" s="12" t="inlineStr">
        <is>
          <t>01 · Identidad y Cuentas</t>
        </is>
      </c>
      <c r="F298" s="10" t="inlineStr">
        <is>
          <t>Funcionalidad</t>
        </is>
      </c>
      <c r="G298" s="12" t="inlineStr">
        <is>
          <t>Configurar privacidad y consentimientos</t>
        </is>
      </c>
      <c r="H298" s="15" t="inlineStr">
        <is>
          <t>Esencial</t>
        </is>
      </c>
      <c r="I298" s="10" t="inlineStr">
        <is>
          <t>V1</t>
        </is>
      </c>
      <c r="J298" s="10" t="n">
        <v>19</v>
      </c>
      <c r="K298" s="12" t="inlineStr">
        <is>
          <t>Red social</t>
        </is>
      </c>
      <c r="L298" s="12" t="inlineStr">
        <is>
          <t>OB-48-003/004</t>
        </is>
      </c>
      <c r="M298" s="12" t="inlineStr">
        <is>
          <t>Backend</t>
        </is>
      </c>
      <c r="N298" s="12" t="inlineStr">
        <is>
          <t>Consentimientos listos (GET/PUT); falta visibilidad de perfil (llega con Perfiles)</t>
        </is>
      </c>
    </row>
    <row r="299">
      <c r="A299" s="10" t="n">
        <v>294</v>
      </c>
      <c r="B299" s="11">
        <f>IF(C299="Completo","☑",IF(C299="En progreso","◐","☐"))</f>
        <v/>
      </c>
      <c r="C299" s="10" t="inlineStr">
        <is>
          <t>Pendiente</t>
        </is>
      </c>
      <c r="D299" s="10" t="inlineStr">
        <is>
          <t>ACC-F17</t>
        </is>
      </c>
      <c r="E299" s="12" t="inlineStr">
        <is>
          <t>01 · Identidad y Cuentas</t>
        </is>
      </c>
      <c r="F299" s="10" t="inlineStr">
        <is>
          <t>Funcionalidad</t>
        </is>
      </c>
      <c r="G299" s="12" t="inlineStr">
        <is>
          <t>Gestionar permiso de ubicación</t>
        </is>
      </c>
      <c r="H299" s="15" t="inlineStr">
        <is>
          <t>Esencial</t>
        </is>
      </c>
      <c r="I299" s="10" t="inlineStr">
        <is>
          <t>V1</t>
        </is>
      </c>
      <c r="J299" s="10" t="n">
        <v>19</v>
      </c>
      <c r="K299" s="12" t="inlineStr">
        <is>
          <t>Red social</t>
        </is>
      </c>
      <c r="L299" s="12" t="inlineStr">
        <is>
          <t>OB-48-005</t>
        </is>
      </c>
      <c r="M299" s="12" t="inlineStr"/>
      <c r="N299" s="12" t="inlineStr"/>
    </row>
    <row r="300">
      <c r="A300" s="10" t="n">
        <v>295</v>
      </c>
      <c r="B300" s="11">
        <f>IF(C300="Completo","☑",IF(C300="En progreso","◐","☐"))</f>
        <v/>
      </c>
      <c r="C300" s="10" t="inlineStr">
        <is>
          <t>Pendiente</t>
        </is>
      </c>
      <c r="D300" s="10" t="inlineStr">
        <is>
          <t>PRF-M04</t>
        </is>
      </c>
      <c r="E300" s="12" t="inlineStr">
        <is>
          <t>02 · Perfiles</t>
        </is>
      </c>
      <c r="F300" s="10" t="inlineStr">
        <is>
          <t>Mantenimiento</t>
        </is>
      </c>
      <c r="G300" s="12" t="inlineStr">
        <is>
          <t>Catálogo de preferencias de belleza</t>
        </is>
      </c>
      <c r="H300" s="15" t="inlineStr">
        <is>
          <t>Esencial</t>
        </is>
      </c>
      <c r="I300" s="10" t="inlineStr">
        <is>
          <t>V1</t>
        </is>
      </c>
      <c r="J300" s="10" t="n">
        <v>19</v>
      </c>
      <c r="K300" s="12" t="inlineStr">
        <is>
          <t>Red social</t>
        </is>
      </c>
      <c r="L300" s="12" t="inlineStr">
        <is>
          <t>OB-04-002</t>
        </is>
      </c>
      <c r="M300" s="12" t="inlineStr"/>
      <c r="N300" s="12" t="inlineStr"/>
    </row>
    <row r="301">
      <c r="A301" s="10" t="n">
        <v>296</v>
      </c>
      <c r="B301" s="11">
        <f>IF(C301="Completo","☑",IF(C301="En progreso","◐","☐"))</f>
        <v/>
      </c>
      <c r="C301" s="10" t="inlineStr">
        <is>
          <t>Pendiente</t>
        </is>
      </c>
      <c r="D301" s="10" t="inlineStr">
        <is>
          <t>PRF-F08</t>
        </is>
      </c>
      <c r="E301" s="12" t="inlineStr">
        <is>
          <t>02 · Perfiles</t>
        </is>
      </c>
      <c r="F301" s="10" t="inlineStr">
        <is>
          <t>Funcionalidad</t>
        </is>
      </c>
      <c r="G301" s="12" t="inlineStr">
        <is>
          <t>Antes/después con consentimiento</t>
        </is>
      </c>
      <c r="H301" s="15" t="inlineStr">
        <is>
          <t>Esencial</t>
        </is>
      </c>
      <c r="I301" s="10" t="inlineStr">
        <is>
          <t>V1</t>
        </is>
      </c>
      <c r="J301" s="10" t="n">
        <v>19</v>
      </c>
      <c r="K301" s="12" t="inlineStr">
        <is>
          <t>Red social</t>
        </is>
      </c>
      <c r="L301" s="12" t="inlineStr">
        <is>
          <t>OB-07-003</t>
        </is>
      </c>
      <c r="M301" s="12" t="inlineStr"/>
      <c r="N301" s="12" t="inlineStr"/>
    </row>
    <row r="302">
      <c r="A302" s="10" t="n">
        <v>297</v>
      </c>
      <c r="B302" s="11">
        <f>IF(C302="Completo","☑",IF(C302="En progreso","◐","☐"))</f>
        <v/>
      </c>
      <c r="C302" s="10" t="inlineStr">
        <is>
          <t>Pendiente</t>
        </is>
      </c>
      <c r="D302" s="10" t="inlineStr">
        <is>
          <t>PRF-F09</t>
        </is>
      </c>
      <c r="E302" s="12" t="inlineStr">
        <is>
          <t>02 · Perfiles</t>
        </is>
      </c>
      <c r="F302" s="10" t="inlineStr">
        <is>
          <t>Funcionalidad</t>
        </is>
      </c>
      <c r="G302" s="12" t="inlineStr">
        <is>
          <t>Beauty Passport: historial de servicios + volver a reservar</t>
        </is>
      </c>
      <c r="H302" s="15" t="inlineStr">
        <is>
          <t>Esencial</t>
        </is>
      </c>
      <c r="I302" s="10" t="inlineStr">
        <is>
          <t>V1</t>
        </is>
      </c>
      <c r="J302" s="10" t="n">
        <v>19</v>
      </c>
      <c r="K302" s="12" t="inlineStr">
        <is>
          <t>Red social</t>
        </is>
      </c>
      <c r="L302" s="12" t="inlineStr">
        <is>
          <t>OB-04-001</t>
        </is>
      </c>
      <c r="M302" s="12" t="inlineStr"/>
      <c r="N302" s="12" t="inlineStr"/>
    </row>
    <row r="303">
      <c r="A303" s="10" t="n">
        <v>298</v>
      </c>
      <c r="B303" s="11">
        <f>IF(C303="Completo","☑",IF(C303="En progreso","◐","☐"))</f>
        <v/>
      </c>
      <c r="C303" s="10" t="inlineStr">
        <is>
          <t>Pendiente</t>
        </is>
      </c>
      <c r="D303" s="10" t="inlineStr">
        <is>
          <t>PRF-F10</t>
        </is>
      </c>
      <c r="E303" s="12" t="inlineStr">
        <is>
          <t>02 · Perfiles</t>
        </is>
      </c>
      <c r="F303" s="10" t="inlineStr">
        <is>
          <t>Funcionalidad</t>
        </is>
      </c>
      <c r="G303" s="12" t="inlineStr">
        <is>
          <t>Preferencias compartibles por reserva</t>
        </is>
      </c>
      <c r="H303" s="15" t="inlineStr">
        <is>
          <t>Esencial</t>
        </is>
      </c>
      <c r="I303" s="10" t="inlineStr">
        <is>
          <t>V1</t>
        </is>
      </c>
      <c r="J303" s="10" t="n">
        <v>19</v>
      </c>
      <c r="K303" s="12" t="inlineStr">
        <is>
          <t>Red social</t>
        </is>
      </c>
      <c r="L303" s="12" t="inlineStr">
        <is>
          <t>OB-04-002</t>
        </is>
      </c>
      <c r="M303" s="12" t="inlineStr"/>
      <c r="N303" s="12" t="inlineStr"/>
    </row>
    <row r="304">
      <c r="A304" s="10" t="n">
        <v>299</v>
      </c>
      <c r="B304" s="11">
        <f>IF(C304="Completo","☑",IF(C304="En progreso","◐","☐"))</f>
        <v/>
      </c>
      <c r="C304" s="10" t="inlineStr">
        <is>
          <t>Pendiente</t>
        </is>
      </c>
      <c r="D304" s="10" t="inlineStr">
        <is>
          <t>PRF-F11</t>
        </is>
      </c>
      <c r="E304" s="12" t="inlineStr">
        <is>
          <t>02 · Perfiles</t>
        </is>
      </c>
      <c r="F304" s="10" t="inlineStr">
        <is>
          <t>Funcionalidad</t>
        </is>
      </c>
      <c r="G304" s="12" t="inlineStr">
        <is>
          <t>Tableros de inspiración</t>
        </is>
      </c>
      <c r="H304" s="15" t="inlineStr">
        <is>
          <t>Esencial</t>
        </is>
      </c>
      <c r="I304" s="10" t="inlineStr">
        <is>
          <t>V1</t>
        </is>
      </c>
      <c r="J304" s="10" t="n">
        <v>19</v>
      </c>
      <c r="K304" s="12" t="inlineStr">
        <is>
          <t>Red social</t>
        </is>
      </c>
      <c r="L304" s="12" t="inlineStr">
        <is>
          <t>OB-04-003</t>
        </is>
      </c>
      <c r="M304" s="12" t="inlineStr"/>
      <c r="N304" s="12" t="inlineStr"/>
    </row>
    <row r="305">
      <c r="A305" s="10" t="n">
        <v>300</v>
      </c>
      <c r="B305" s="11">
        <f>IF(C305="Completo","☑",IF(C305="En progreso","◐","☐"))</f>
        <v/>
      </c>
      <c r="C305" s="10" t="inlineStr">
        <is>
          <t>Pendiente</t>
        </is>
      </c>
      <c r="D305" s="10" t="inlineStr">
        <is>
          <t>TRS-F11</t>
        </is>
      </c>
      <c r="E305" s="12" t="inlineStr">
        <is>
          <t>09 · Confianza y Seguridad</t>
        </is>
      </c>
      <c r="F305" s="10" t="inlineStr">
        <is>
          <t>Funcionalidad</t>
        </is>
      </c>
      <c r="G305" s="12" t="inlineStr">
        <is>
          <t>Apelación de moderación</t>
        </is>
      </c>
      <c r="H305" s="15" t="inlineStr">
        <is>
          <t>Esencial</t>
        </is>
      </c>
      <c r="I305" s="10" t="inlineStr">
        <is>
          <t>V1</t>
        </is>
      </c>
      <c r="J305" s="10" t="n">
        <v>19</v>
      </c>
      <c r="K305" s="12" t="inlineStr">
        <is>
          <t>Soporte de la red</t>
        </is>
      </c>
      <c r="L305" s="12" t="inlineStr">
        <is>
          <t>OB-43</t>
        </is>
      </c>
      <c r="M305" s="12" t="inlineStr"/>
      <c r="N305" s="12" t="inlineStr"/>
    </row>
    <row r="306">
      <c r="A306" s="10" t="n">
        <v>301</v>
      </c>
      <c r="B306" s="11">
        <f>IF(C306="Completo","☑",IF(C306="En progreso","◐","☐"))</f>
        <v/>
      </c>
      <c r="C306" s="10" t="inlineStr">
        <is>
          <t>Pendiente</t>
        </is>
      </c>
      <c r="D306" s="10" t="inlineStr">
        <is>
          <t>VER-M05</t>
        </is>
      </c>
      <c r="E306" s="12" t="inlineStr">
        <is>
          <t>10 · Profesionales y Verificación</t>
        </is>
      </c>
      <c r="F306" s="10" t="inlineStr">
        <is>
          <t>Mantenimiento</t>
        </is>
      </c>
      <c r="G306" s="12" t="inlineStr">
        <is>
          <t>Criterios de insignias</t>
        </is>
      </c>
      <c r="H306" s="15" t="inlineStr">
        <is>
          <t>Esencial</t>
        </is>
      </c>
      <c r="I306" s="10" t="inlineStr">
        <is>
          <t>V1</t>
        </is>
      </c>
      <c r="J306" s="10" t="n">
        <v>19</v>
      </c>
      <c r="K306" s="12" t="inlineStr">
        <is>
          <t>Marketplace</t>
        </is>
      </c>
      <c r="L306" s="12" t="inlineStr">
        <is>
          <t>OB-06-002/003</t>
        </is>
      </c>
      <c r="M306" s="12" t="inlineStr"/>
      <c r="N306" s="12" t="inlineStr"/>
    </row>
    <row r="307">
      <c r="A307" s="10" t="n">
        <v>302</v>
      </c>
      <c r="B307" s="11">
        <f>IF(C307="Completo","☑",IF(C307="En progreso","◐","☐"))</f>
        <v/>
      </c>
      <c r="C307" s="10" t="inlineStr">
        <is>
          <t>Pendiente</t>
        </is>
      </c>
      <c r="D307" s="10" t="inlineStr">
        <is>
          <t>VER-F10</t>
        </is>
      </c>
      <c r="E307" s="12" t="inlineStr">
        <is>
          <t>10 · Profesionales y Verificación</t>
        </is>
      </c>
      <c r="F307" s="10" t="inlineStr">
        <is>
          <t>Funcionalidad</t>
        </is>
      </c>
      <c r="G307" s="12" t="inlineStr">
        <is>
          <t>Insignia profesional por certificaciones</t>
        </is>
      </c>
      <c r="H307" s="15" t="inlineStr">
        <is>
          <t>Esencial</t>
        </is>
      </c>
      <c r="I307" s="10" t="inlineStr">
        <is>
          <t>V1</t>
        </is>
      </c>
      <c r="J307" s="10" t="n">
        <v>19</v>
      </c>
      <c r="K307" s="12" t="inlineStr">
        <is>
          <t>Marketplace</t>
        </is>
      </c>
      <c r="L307" s="12" t="inlineStr">
        <is>
          <t>OB-06-002</t>
        </is>
      </c>
      <c r="M307" s="12" t="inlineStr"/>
      <c r="N307" s="12" t="inlineStr"/>
    </row>
    <row r="308">
      <c r="A308" s="10" t="n">
        <v>303</v>
      </c>
      <c r="B308" s="11">
        <f>IF(C308="Completo","☑",IF(C308="En progreso","◐","☐"))</f>
        <v/>
      </c>
      <c r="C308" s="10" t="inlineStr">
        <is>
          <t>Pendiente</t>
        </is>
      </c>
      <c r="D308" s="10" t="inlineStr">
        <is>
          <t>REP-M02</t>
        </is>
      </c>
      <c r="E308" s="12" t="inlineStr">
        <is>
          <t>15 · Reseñas y Reputación</t>
        </is>
      </c>
      <c r="F308" s="10" t="inlineStr">
        <is>
          <t>Mantenimiento</t>
        </is>
      </c>
      <c r="G308" s="12" t="inlineStr">
        <is>
          <t>Dimensiones de calificación</t>
        </is>
      </c>
      <c r="H308" s="15" t="inlineStr">
        <is>
          <t>Esencial</t>
        </is>
      </c>
      <c r="I308" s="10" t="inlineStr">
        <is>
          <t>V1</t>
        </is>
      </c>
      <c r="J308" s="10" t="n">
        <v>19</v>
      </c>
      <c r="K308" s="12" t="inlineStr">
        <is>
          <t>Marketplace</t>
        </is>
      </c>
      <c r="L308" s="12" t="inlineStr">
        <is>
          <t>OB-22-002</t>
        </is>
      </c>
      <c r="M308" s="12" t="inlineStr"/>
      <c r="N308" s="12" t="inlineStr"/>
    </row>
    <row r="309">
      <c r="A309" s="10" t="n">
        <v>304</v>
      </c>
      <c r="B309" s="11">
        <f>IF(C309="Completo","☑",IF(C309="En progreso","◐","☐"))</f>
        <v/>
      </c>
      <c r="C309" s="10" t="inlineStr">
        <is>
          <t>Pendiente</t>
        </is>
      </c>
      <c r="D309" s="10" t="inlineStr">
        <is>
          <t>REP-M03</t>
        </is>
      </c>
      <c r="E309" s="12" t="inlineStr">
        <is>
          <t>15 · Reseñas y Reputación</t>
        </is>
      </c>
      <c r="F309" s="10" t="inlineStr">
        <is>
          <t>Mantenimiento</t>
        </is>
      </c>
      <c r="G309" s="12" t="inlineStr">
        <is>
          <t>Muestra mínima para métricas</t>
        </is>
      </c>
      <c r="H309" s="15" t="inlineStr">
        <is>
          <t>Esencial</t>
        </is>
      </c>
      <c r="I309" s="10" t="inlineStr">
        <is>
          <t>V1</t>
        </is>
      </c>
      <c r="J309" s="10" t="n">
        <v>19</v>
      </c>
      <c r="K309" s="12" t="inlineStr">
        <is>
          <t>Marketplace</t>
        </is>
      </c>
      <c r="L309" s="12" t="inlineStr">
        <is>
          <t>OB-22-005</t>
        </is>
      </c>
      <c r="M309" s="12" t="inlineStr"/>
      <c r="N309" s="12" t="inlineStr"/>
    </row>
    <row r="310">
      <c r="A310" s="10" t="n">
        <v>305</v>
      </c>
      <c r="B310" s="11">
        <f>IF(C310="Completo","☑",IF(C310="En progreso","◐","☐"))</f>
        <v/>
      </c>
      <c r="C310" s="10" t="inlineStr">
        <is>
          <t>Pendiente</t>
        </is>
      </c>
      <c r="D310" s="10" t="inlineStr">
        <is>
          <t>REP-F04</t>
        </is>
      </c>
      <c r="E310" s="12" t="inlineStr">
        <is>
          <t>15 · Reseñas y Reputación</t>
        </is>
      </c>
      <c r="F310" s="10" t="inlineStr">
        <is>
          <t>Funcionalidad</t>
        </is>
      </c>
      <c r="G310" s="12" t="inlineStr">
        <is>
          <t>Valoración multidimensional</t>
        </is>
      </c>
      <c r="H310" s="15" t="inlineStr">
        <is>
          <t>Esencial</t>
        </is>
      </c>
      <c r="I310" s="10" t="inlineStr">
        <is>
          <t>V1</t>
        </is>
      </c>
      <c r="J310" s="10" t="n">
        <v>19</v>
      </c>
      <c r="K310" s="12" t="inlineStr">
        <is>
          <t>Marketplace</t>
        </is>
      </c>
      <c r="L310" s="12" t="inlineStr">
        <is>
          <t>OB-22-002</t>
        </is>
      </c>
      <c r="M310" s="12" t="inlineStr"/>
      <c r="N310" s="12" t="inlineStr"/>
    </row>
    <row r="311">
      <c r="A311" s="10" t="n">
        <v>306</v>
      </c>
      <c r="B311" s="11">
        <f>IF(C311="Completo","☑",IF(C311="En progreso","◐","☐"))</f>
        <v/>
      </c>
      <c r="C311" s="10" t="inlineStr">
        <is>
          <t>Pendiente</t>
        </is>
      </c>
      <c r="D311" s="10" t="inlineStr">
        <is>
          <t>REP-F05</t>
        </is>
      </c>
      <c r="E311" s="12" t="inlineStr">
        <is>
          <t>15 · Reseñas y Reputación</t>
        </is>
      </c>
      <c r="F311" s="10" t="inlineStr">
        <is>
          <t>Funcionalidad</t>
        </is>
      </c>
      <c r="G311" s="12" t="inlineStr">
        <is>
          <t>Respuesta del profesional</t>
        </is>
      </c>
      <c r="H311" s="15" t="inlineStr">
        <is>
          <t>Esencial</t>
        </is>
      </c>
      <c r="I311" s="10" t="inlineStr">
        <is>
          <t>V1</t>
        </is>
      </c>
      <c r="J311" s="10" t="n">
        <v>19</v>
      </c>
      <c r="K311" s="12" t="inlineStr">
        <is>
          <t>Marketplace</t>
        </is>
      </c>
      <c r="L311" s="12" t="inlineStr">
        <is>
          <t>OB-22-004</t>
        </is>
      </c>
      <c r="M311" s="12" t="inlineStr"/>
      <c r="N311" s="12" t="inlineStr"/>
    </row>
    <row r="312">
      <c r="A312" s="10" t="n">
        <v>307</v>
      </c>
      <c r="B312" s="11">
        <f>IF(C312="Completo","☑",IF(C312="En progreso","◐","☐"))</f>
        <v/>
      </c>
      <c r="C312" s="10" t="inlineStr">
        <is>
          <t>Pendiente</t>
        </is>
      </c>
      <c r="D312" s="10" t="inlineStr">
        <is>
          <t>REP-F06</t>
        </is>
      </c>
      <c r="E312" s="12" t="inlineStr">
        <is>
          <t>15 · Reseñas y Reputación</t>
        </is>
      </c>
      <c r="F312" s="10" t="inlineStr">
        <is>
          <t>Funcionalidad</t>
        </is>
      </c>
      <c r="G312" s="12" t="inlineStr">
        <is>
          <t>Métricas públicas (puntualidad, cancelación)</t>
        </is>
      </c>
      <c r="H312" s="15" t="inlineStr">
        <is>
          <t>Esencial</t>
        </is>
      </c>
      <c r="I312" s="10" t="inlineStr">
        <is>
          <t>V1</t>
        </is>
      </c>
      <c r="J312" s="10" t="n">
        <v>19</v>
      </c>
      <c r="K312" s="12" t="inlineStr">
        <is>
          <t>Marketplace</t>
        </is>
      </c>
      <c r="L312" s="12" t="inlineStr">
        <is>
          <t>OB-22-005</t>
        </is>
      </c>
      <c r="M312" s="12" t="inlineStr"/>
      <c r="N312" s="12" t="inlineStr"/>
    </row>
    <row r="313">
      <c r="A313" s="10" t="n">
        <v>308</v>
      </c>
      <c r="B313" s="11">
        <f>IF(C313="Completo","☑",IF(C313="En progreso","◐","☐"))</f>
        <v/>
      </c>
      <c r="C313" s="10" t="inlineStr">
        <is>
          <t>Pendiente</t>
        </is>
      </c>
      <c r="D313" s="10" t="inlineStr">
        <is>
          <t>ADM-F07</t>
        </is>
      </c>
      <c r="E313" s="12" t="inlineStr">
        <is>
          <t>26 · Administración y Auditoría</t>
        </is>
      </c>
      <c r="F313" s="10" t="inlineStr">
        <is>
          <t>Funcionalidad</t>
        </is>
      </c>
      <c r="G313" s="12" t="inlineStr">
        <is>
          <t>Bloquear usuario</t>
        </is>
      </c>
      <c r="H313" s="15" t="inlineStr">
        <is>
          <t>Esencial</t>
        </is>
      </c>
      <c r="I313" s="10" t="inlineStr">
        <is>
          <t>V1</t>
        </is>
      </c>
      <c r="J313" s="10" t="n">
        <v>19</v>
      </c>
      <c r="K313" s="12" t="inlineStr">
        <is>
          <t>Gobierno</t>
        </is>
      </c>
      <c r="L313" s="12" t="inlineStr">
        <is>
          <t>OB-41-005</t>
        </is>
      </c>
      <c r="M313" s="12" t="inlineStr"/>
      <c r="N313" s="12" t="inlineStr"/>
    </row>
    <row r="314">
      <c r="A314" s="10" t="n">
        <v>309</v>
      </c>
      <c r="B314" s="11">
        <f>IF(C314="Completo","☑",IF(C314="En progreso","◐","☐"))</f>
        <v/>
      </c>
      <c r="C314" s="10" t="inlineStr">
        <is>
          <t>Completo</t>
        </is>
      </c>
      <c r="D314" s="10" t="inlineStr">
        <is>
          <t>ADM-F08</t>
        </is>
      </c>
      <c r="E314" s="12" t="inlineStr">
        <is>
          <t>26 · Administración y Auditoría</t>
        </is>
      </c>
      <c r="F314" s="10" t="inlineStr">
        <is>
          <t>Funcionalidad</t>
        </is>
      </c>
      <c r="G314" s="12" t="inlineStr">
        <is>
          <t>Consultar auditoría</t>
        </is>
      </c>
      <c r="H314" s="15" t="inlineStr">
        <is>
          <t>Esencial</t>
        </is>
      </c>
      <c r="I314" s="10" t="inlineStr">
        <is>
          <t>V1</t>
        </is>
      </c>
      <c r="J314" s="10" t="n">
        <v>19</v>
      </c>
      <c r="K314" s="12" t="inlineStr">
        <is>
          <t>Gobierno</t>
        </is>
      </c>
      <c r="L314" s="12" t="inlineStr">
        <is>
          <t>OB-41-006, OB-49-002</t>
        </is>
      </c>
      <c r="M314" s="12" t="inlineStr">
        <is>
          <t>Backend</t>
        </is>
      </c>
      <c r="N314" s="12" t="inlineStr">
        <is>
          <t>/api/platform/business-audit-event con filtros (falta pantalla UI)</t>
        </is>
      </c>
    </row>
    <row r="315">
      <c r="A315" s="6" t="n">
        <v>310</v>
      </c>
      <c r="B315" s="7">
        <f>IF(C315="Completo","☑",IF(C315="En progreso","◐","☐"))</f>
        <v/>
      </c>
      <c r="C315" s="6" t="inlineStr">
        <is>
          <t>Pendiente</t>
        </is>
      </c>
      <c r="D315" s="6" t="inlineStr">
        <is>
          <t>PLT-F19</t>
        </is>
      </c>
      <c r="E315" s="8" t="inlineStr">
        <is>
          <t>00 · Plataforma y Shared Kernel</t>
        </is>
      </c>
      <c r="F315" s="6" t="inlineStr">
        <is>
          <t>Funcionalidad</t>
        </is>
      </c>
      <c r="G315" s="8" t="inlineStr">
        <is>
          <t>Cache de lecturas calientes con invalidación por eventos</t>
        </is>
      </c>
      <c r="H315" s="14" t="inlineStr">
        <is>
          <t>Esencial</t>
        </is>
      </c>
      <c r="I315" s="6" t="inlineStr">
        <is>
          <t>V1</t>
        </is>
      </c>
      <c r="J315" s="6" t="n">
        <v>20</v>
      </c>
      <c r="K315" s="8" t="inlineStr">
        <is>
          <t>Base</t>
        </is>
      </c>
      <c r="L315" s="8" t="inlineStr">
        <is>
          <t>TECH-03-003</t>
        </is>
      </c>
      <c r="M315" s="8" t="inlineStr"/>
      <c r="N315" s="8" t="inlineStr"/>
    </row>
    <row r="316">
      <c r="A316" s="6" t="n">
        <v>311</v>
      </c>
      <c r="B316" s="7">
        <f>IF(C316="Completo","☑",IF(C316="En progreso","◐","☐"))</f>
        <v/>
      </c>
      <c r="C316" s="6" t="inlineStr">
        <is>
          <t>Pendiente</t>
        </is>
      </c>
      <c r="D316" s="6" t="inlineStr">
        <is>
          <t>PLT-F20</t>
        </is>
      </c>
      <c r="E316" s="8" t="inlineStr">
        <is>
          <t>00 · Plataforma y Shared Kernel</t>
        </is>
      </c>
      <c r="F316" s="6" t="inlineStr">
        <is>
          <t>Funcionalidad</t>
        </is>
      </c>
      <c r="G316" s="8" t="inlineStr">
        <is>
          <t>Contrato de sincronización para clientes offline</t>
        </is>
      </c>
      <c r="H316" s="14" t="inlineStr">
        <is>
          <t>Esencial</t>
        </is>
      </c>
      <c r="I316" s="6" t="inlineStr">
        <is>
          <t>V1</t>
        </is>
      </c>
      <c r="J316" s="6" t="n">
        <v>20</v>
      </c>
      <c r="K316" s="8" t="inlineStr">
        <is>
          <t>Base</t>
        </is>
      </c>
      <c r="L316" s="8" t="inlineStr">
        <is>
          <t>TECH-03-002, OB-52-001</t>
        </is>
      </c>
      <c r="M316" s="8" t="inlineStr"/>
      <c r="N316" s="8" t="inlineStr"/>
    </row>
    <row r="317">
      <c r="A317" s="6" t="n">
        <v>312</v>
      </c>
      <c r="B317" s="7">
        <f>IF(C317="Completo","☑",IF(C317="En progreso","◐","☐"))</f>
        <v/>
      </c>
      <c r="C317" s="6" t="inlineStr">
        <is>
          <t>Pendiente</t>
        </is>
      </c>
      <c r="D317" s="6" t="inlineStr">
        <is>
          <t>FED-F11</t>
        </is>
      </c>
      <c r="E317" s="8" t="inlineStr">
        <is>
          <t>05 · Feed, Explorar y Búsqueda</t>
        </is>
      </c>
      <c r="F317" s="6" t="inlineStr">
        <is>
          <t>Funcionalidad</t>
        </is>
      </c>
      <c r="G317" s="8" t="inlineStr">
        <is>
          <t>SEO de perfiles públicos</t>
        </is>
      </c>
      <c r="H317" s="14" t="inlineStr">
        <is>
          <t>Esencial</t>
        </is>
      </c>
      <c r="I317" s="6" t="inlineStr">
        <is>
          <t>V1</t>
        </is>
      </c>
      <c r="J317" s="6" t="n">
        <v>20</v>
      </c>
      <c r="K317" s="8" t="inlineStr">
        <is>
          <t>Red social</t>
        </is>
      </c>
      <c r="L317" s="8" t="inlineStr">
        <is>
          <t>RELEASE-01-002</t>
        </is>
      </c>
      <c r="M317" s="8" t="inlineStr"/>
      <c r="N317" s="8" t="inlineStr"/>
    </row>
    <row r="318">
      <c r="A318" s="6" t="n">
        <v>313</v>
      </c>
      <c r="B318" s="7">
        <f>IF(C318="Completo","☑",IF(C318="En progreso","◐","☐"))</f>
        <v/>
      </c>
      <c r="C318" s="6" t="inlineStr">
        <is>
          <t>Pendiente</t>
        </is>
      </c>
      <c r="D318" s="6" t="inlineStr">
        <is>
          <t>MON-M04</t>
        </is>
      </c>
      <c r="E318" s="8" t="inlineStr">
        <is>
          <t>18 · Monetización y Publicidad</t>
        </is>
      </c>
      <c r="F318" s="6" t="inlineStr">
        <is>
          <t>Mantenimiento</t>
        </is>
      </c>
      <c r="G318" s="8" t="inlineStr">
        <is>
          <t>Productos de publicidad (destacados, posts promocionados)</t>
        </is>
      </c>
      <c r="H318" s="14" t="inlineStr">
        <is>
          <t>Esencial</t>
        </is>
      </c>
      <c r="I318" s="6" t="inlineStr">
        <is>
          <t>V1</t>
        </is>
      </c>
      <c r="J318" s="6" t="n">
        <v>20</v>
      </c>
      <c r="K318" s="8" t="inlineStr">
        <is>
          <t>Dinero</t>
        </is>
      </c>
      <c r="L318" s="8" t="inlineStr">
        <is>
          <t>§3.2</t>
        </is>
      </c>
      <c r="M318" s="8" t="inlineStr"/>
      <c r="N318" s="8" t="inlineStr"/>
    </row>
    <row r="319">
      <c r="A319" s="6" t="n">
        <v>314</v>
      </c>
      <c r="B319" s="7">
        <f>IF(C319="Completo","☑",IF(C319="En progreso","◐","☐"))</f>
        <v/>
      </c>
      <c r="C319" s="6" t="inlineStr">
        <is>
          <t>Pendiente</t>
        </is>
      </c>
      <c r="D319" s="6" t="inlineStr">
        <is>
          <t>MON-F07</t>
        </is>
      </c>
      <c r="E319" s="8" t="inlineStr">
        <is>
          <t>18 · Monetización y Publicidad</t>
        </is>
      </c>
      <c r="F319" s="6" t="inlineStr">
        <is>
          <t>Funcionalidad</t>
        </is>
      </c>
      <c r="G319" s="8" t="inlineStr">
        <is>
          <t>Perfiles destacados en Discover (etiquetados)</t>
        </is>
      </c>
      <c r="H319" s="14" t="inlineStr">
        <is>
          <t>Esencial</t>
        </is>
      </c>
      <c r="I319" s="6" t="inlineStr">
        <is>
          <t>V1</t>
        </is>
      </c>
      <c r="J319" s="6" t="n">
        <v>20</v>
      </c>
      <c r="K319" s="8" t="inlineStr">
        <is>
          <t>Dinero</t>
        </is>
      </c>
      <c r="L319" s="8" t="inlineStr">
        <is>
          <t>OB-09-003</t>
        </is>
      </c>
      <c r="M319" s="8" t="inlineStr"/>
      <c r="N319" s="8" t="inlineStr"/>
    </row>
    <row r="320">
      <c r="A320" s="6" t="n">
        <v>315</v>
      </c>
      <c r="B320" s="7">
        <f>IF(C320="Completo","☑",IF(C320="En progreso","◐","☐"))</f>
        <v/>
      </c>
      <c r="C320" s="6" t="inlineStr">
        <is>
          <t>Pendiente</t>
        </is>
      </c>
      <c r="D320" s="6" t="inlineStr">
        <is>
          <t>MON-F08</t>
        </is>
      </c>
      <c r="E320" s="8" t="inlineStr">
        <is>
          <t>18 · Monetización y Publicidad</t>
        </is>
      </c>
      <c r="F320" s="6" t="inlineStr">
        <is>
          <t>Funcionalidad</t>
        </is>
      </c>
      <c r="G320" s="8" t="inlineStr">
        <is>
          <t>Promocionar publicaciones (boost)</t>
        </is>
      </c>
      <c r="H320" s="14" t="inlineStr">
        <is>
          <t>Esencial</t>
        </is>
      </c>
      <c r="I320" s="6" t="inlineStr">
        <is>
          <t>V1</t>
        </is>
      </c>
      <c r="J320" s="6" t="n">
        <v>20</v>
      </c>
      <c r="K320" s="8" t="inlineStr">
        <is>
          <t>Dinero</t>
        </is>
      </c>
      <c r="L320" s="8" t="inlineStr">
        <is>
          <t>§3.2</t>
        </is>
      </c>
      <c r="M320" s="8" t="inlineStr"/>
      <c r="N320" s="8" t="inlineStr"/>
    </row>
    <row r="321">
      <c r="A321" s="6" t="n">
        <v>316</v>
      </c>
      <c r="B321" s="7">
        <f>IF(C321="Completo","☑",IF(C321="En progreso","◐","☐"))</f>
        <v/>
      </c>
      <c r="C321" s="6" t="inlineStr">
        <is>
          <t>Pendiente</t>
        </is>
      </c>
      <c r="D321" s="6" t="inlineStr">
        <is>
          <t>ANA-F03</t>
        </is>
      </c>
      <c r="E321" s="8" t="inlineStr">
        <is>
          <t>22 · Analítica</t>
        </is>
      </c>
      <c r="F321" s="6" t="inlineStr">
        <is>
          <t>Funcionalidad</t>
        </is>
      </c>
      <c r="G321" s="8" t="inlineStr">
        <is>
          <t>Métricas de contenido (alcance, interacción, contenido → reserva)</t>
        </is>
      </c>
      <c r="H321" s="14" t="inlineStr">
        <is>
          <t>Esencial</t>
        </is>
      </c>
      <c r="I321" s="6" t="inlineStr">
        <is>
          <t>V1</t>
        </is>
      </c>
      <c r="J321" s="6" t="n">
        <v>20</v>
      </c>
      <c r="K321" s="8" t="inlineStr">
        <is>
          <t>Crecimiento</t>
        </is>
      </c>
      <c r="L321" s="8" t="inlineStr">
        <is>
          <t>§19 Social</t>
        </is>
      </c>
      <c r="M321" s="8" t="inlineStr"/>
      <c r="N321" s="8" t="inlineStr"/>
    </row>
    <row r="322">
      <c r="A322" s="6" t="n">
        <v>317</v>
      </c>
      <c r="B322" s="7">
        <f>IF(C322="Completo","☑",IF(C322="En progreso","◐","☐"))</f>
        <v/>
      </c>
      <c r="C322" s="6" t="inlineStr">
        <is>
          <t>En progreso</t>
        </is>
      </c>
      <c r="D322" s="6" t="inlineStr">
        <is>
          <t>ADM-M03</t>
        </is>
      </c>
      <c r="E322" s="8" t="inlineStr">
        <is>
          <t>26 · Administración y Auditoría</t>
        </is>
      </c>
      <c r="F322" s="6" t="inlineStr">
        <is>
          <t>Mantenimiento</t>
        </is>
      </c>
      <c r="G322" s="8" t="inlineStr">
        <is>
          <t>Feature flags (panel)</t>
        </is>
      </c>
      <c r="H322" s="14" t="inlineStr">
        <is>
          <t>Esencial</t>
        </is>
      </c>
      <c r="I322" s="6" t="inlineStr">
        <is>
          <t>V1</t>
        </is>
      </c>
      <c r="J322" s="6" t="n">
        <v>20</v>
      </c>
      <c r="K322" s="8" t="inlineStr">
        <is>
          <t>Gobierno</t>
        </is>
      </c>
      <c r="L322" s="8" t="inlineStr">
        <is>
          <t>DEVOPS-01-003</t>
        </is>
      </c>
      <c r="M322" s="8" t="inlineStr"/>
      <c r="N322" s="8" t="inlineStr"/>
    </row>
    <row r="323">
      <c r="A323" s="6" t="n">
        <v>318</v>
      </c>
      <c r="B323" s="7">
        <f>IF(C323="Completo","☑",IF(C323="En progreso","◐","☐"))</f>
        <v/>
      </c>
      <c r="C323" s="6" t="inlineStr">
        <is>
          <t>Pendiente</t>
        </is>
      </c>
      <c r="D323" s="6" t="inlineStr">
        <is>
          <t>DEV-F20</t>
        </is>
      </c>
      <c r="E323" s="8" t="inlineStr">
        <is>
          <t>DEV · Operación, Calidad y Entrega</t>
        </is>
      </c>
      <c r="F323" s="6" t="inlineStr">
        <is>
          <t>Funcionalidad</t>
        </is>
      </c>
      <c r="G323" s="8" t="inlineStr">
        <is>
          <t>Feature flags operativos</t>
        </is>
      </c>
      <c r="H323" s="14" t="inlineStr">
        <is>
          <t>Esencial</t>
        </is>
      </c>
      <c r="I323" s="6" t="inlineStr">
        <is>
          <t>V1</t>
        </is>
      </c>
      <c r="J323" s="6" t="n">
        <v>20</v>
      </c>
      <c r="K323" s="8" t="inlineStr">
        <is>
          <t>Áreas transversales</t>
        </is>
      </c>
      <c r="L323" s="8" t="inlineStr">
        <is>
          <t>DEVOPS-01-003</t>
        </is>
      </c>
      <c r="M323" s="8" t="inlineStr"/>
      <c r="N323" s="8" t="inlineStr"/>
    </row>
    <row r="324">
      <c r="A324" s="6" t="n">
        <v>319</v>
      </c>
      <c r="B324" s="7">
        <f>IF(C324="Completo","☑",IF(C324="En progreso","◐","☐"))</f>
        <v/>
      </c>
      <c r="C324" s="6" t="inlineStr">
        <is>
          <t>Pendiente</t>
        </is>
      </c>
      <c r="D324" s="6" t="inlineStr">
        <is>
          <t>DEV-F21</t>
        </is>
      </c>
      <c r="E324" s="8" t="inlineStr">
        <is>
          <t>DEV · Operación, Calidad y Entrega</t>
        </is>
      </c>
      <c r="F324" s="6" t="inlineStr">
        <is>
          <t>Funcionalidad</t>
        </is>
      </c>
      <c r="G324" s="8" t="inlineStr">
        <is>
          <t>Release Android</t>
        </is>
      </c>
      <c r="H324" s="14" t="inlineStr">
        <is>
          <t>Esencial</t>
        </is>
      </c>
      <c r="I324" s="6" t="inlineStr">
        <is>
          <t>V1</t>
        </is>
      </c>
      <c r="J324" s="6" t="n">
        <v>20</v>
      </c>
      <c r="K324" s="8" t="inlineStr">
        <is>
          <t>Áreas transversales</t>
        </is>
      </c>
      <c r="L324" s="8" t="inlineStr">
        <is>
          <t>RELEASE-02</t>
        </is>
      </c>
      <c r="M324" s="8" t="inlineStr"/>
      <c r="N324" s="8" t="inlineStr"/>
    </row>
    <row r="325">
      <c r="A325" s="6" t="n">
        <v>320</v>
      </c>
      <c r="B325" s="7">
        <f>IF(C325="Completo","☑",IF(C325="En progreso","◐","☐"))</f>
        <v/>
      </c>
      <c r="C325" s="6" t="inlineStr">
        <is>
          <t>Pendiente</t>
        </is>
      </c>
      <c r="D325" s="6" t="inlineStr">
        <is>
          <t>DEV-F22</t>
        </is>
      </c>
      <c r="E325" s="8" t="inlineStr">
        <is>
          <t>DEV · Operación, Calidad y Entrega</t>
        </is>
      </c>
      <c r="F325" s="6" t="inlineStr">
        <is>
          <t>Funcionalidad</t>
        </is>
      </c>
      <c r="G325" s="8" t="inlineStr">
        <is>
          <t>Release iOS</t>
        </is>
      </c>
      <c r="H325" s="14" t="inlineStr">
        <is>
          <t>Esencial</t>
        </is>
      </c>
      <c r="I325" s="6" t="inlineStr">
        <is>
          <t>V1</t>
        </is>
      </c>
      <c r="J325" s="6" t="n">
        <v>20</v>
      </c>
      <c r="K325" s="8" t="inlineStr">
        <is>
          <t>Áreas transversales</t>
        </is>
      </c>
      <c r="L325" s="8" t="inlineStr">
        <is>
          <t>RELEASE-03</t>
        </is>
      </c>
      <c r="M325" s="8" t="inlineStr"/>
      <c r="N325" s="8" t="inlineStr"/>
    </row>
    <row r="326">
      <c r="A326" s="6" t="n">
        <v>321</v>
      </c>
      <c r="B326" s="7">
        <f>IF(C326="Completo","☑",IF(C326="En progreso","◐","☐"))</f>
        <v/>
      </c>
      <c r="C326" s="6" t="inlineStr">
        <is>
          <t>Pendiente</t>
        </is>
      </c>
      <c r="D326" s="6" t="inlineStr">
        <is>
          <t>LEG-F07</t>
        </is>
      </c>
      <c r="E326" s="8" t="inlineStr">
        <is>
          <t>LEG · Cumplimiento Legal y Fiscal</t>
        </is>
      </c>
      <c r="F326" s="6" t="inlineStr">
        <is>
          <t>Funcionalidad</t>
        </is>
      </c>
      <c r="G326" s="8" t="inlineStr">
        <is>
          <t>Requisitos de Apple/Google (privacidad, borrar cuenta)</t>
        </is>
      </c>
      <c r="H326" s="14" t="inlineStr">
        <is>
          <t>Esencial</t>
        </is>
      </c>
      <c r="I326" s="6" t="inlineStr">
        <is>
          <t>V1</t>
        </is>
      </c>
      <c r="J326" s="6" t="n">
        <v>20</v>
      </c>
      <c r="K326" s="8" t="inlineStr">
        <is>
          <t>Áreas transversales</t>
        </is>
      </c>
      <c r="L326" s="8" t="inlineStr">
        <is>
          <t>RELEASE-02/03</t>
        </is>
      </c>
      <c r="M326" s="8" t="inlineStr"/>
      <c r="N326" s="8" t="inlineStr"/>
    </row>
    <row r="327">
      <c r="A327" s="10" t="n">
        <v>322</v>
      </c>
      <c r="B327" s="11">
        <f>IF(C327="Completo","☑",IF(C327="En progreso","◐","☐"))</f>
        <v/>
      </c>
      <c r="C327" s="10" t="inlineStr">
        <is>
          <t>Pendiente</t>
        </is>
      </c>
      <c r="D327" s="10" t="inlineStr">
        <is>
          <t>BIZ-M01</t>
        </is>
      </c>
      <c r="E327" s="12" t="inlineStr">
        <is>
          <t>20 · Negocios y Equipo</t>
        </is>
      </c>
      <c r="F327" s="10" t="inlineStr">
        <is>
          <t>Mantenimiento</t>
        </is>
      </c>
      <c r="G327" s="12" t="inlineStr">
        <is>
          <t>Tipos de negocio</t>
        </is>
      </c>
      <c r="H327" s="16" t="inlineStr">
        <is>
          <t>Expansión</t>
        </is>
      </c>
      <c r="I327" s="10" t="inlineStr">
        <is>
          <t>V2</t>
        </is>
      </c>
      <c r="J327" s="10" t="n">
        <v>21</v>
      </c>
      <c r="K327" s="12" t="inlineStr">
        <is>
          <t>Negocios</t>
        </is>
      </c>
      <c r="L327" s="12" t="inlineStr">
        <is>
          <t>OB-30-001</t>
        </is>
      </c>
      <c r="M327" s="12" t="inlineStr"/>
      <c r="N327" s="12" t="inlineStr"/>
    </row>
    <row r="328">
      <c r="A328" s="10" t="n">
        <v>323</v>
      </c>
      <c r="B328" s="11">
        <f>IF(C328="Completo","☑",IF(C328="En progreso","◐","☐"))</f>
        <v/>
      </c>
      <c r="C328" s="10" t="inlineStr">
        <is>
          <t>Pendiente</t>
        </is>
      </c>
      <c r="D328" s="10" t="inlineStr">
        <is>
          <t>BIZ-M02</t>
        </is>
      </c>
      <c r="E328" s="12" t="inlineStr">
        <is>
          <t>20 · Negocios y Equipo</t>
        </is>
      </c>
      <c r="F328" s="10" t="inlineStr">
        <is>
          <t>Mantenimiento</t>
        </is>
      </c>
      <c r="G328" s="12" t="inlineStr">
        <is>
          <t>Sucursales</t>
        </is>
      </c>
      <c r="H328" s="16" t="inlineStr">
        <is>
          <t>Expansión</t>
        </is>
      </c>
      <c r="I328" s="10" t="inlineStr">
        <is>
          <t>V2</t>
        </is>
      </c>
      <c r="J328" s="10" t="n">
        <v>21</v>
      </c>
      <c r="K328" s="12" t="inlineStr">
        <is>
          <t>Negocios</t>
        </is>
      </c>
      <c r="L328" s="12" t="inlineStr">
        <is>
          <t>OB-30-002</t>
        </is>
      </c>
      <c r="M328" s="12" t="inlineStr"/>
      <c r="N328" s="12" t="inlineStr"/>
    </row>
    <row r="329">
      <c r="A329" s="10" t="n">
        <v>324</v>
      </c>
      <c r="B329" s="11">
        <f>IF(C329="Completo","☑",IF(C329="En progreso","◐","☐"))</f>
        <v/>
      </c>
      <c r="C329" s="10" t="inlineStr">
        <is>
          <t>Pendiente</t>
        </is>
      </c>
      <c r="D329" s="10" t="inlineStr">
        <is>
          <t>BIZ-M03</t>
        </is>
      </c>
      <c r="E329" s="12" t="inlineStr">
        <is>
          <t>20 · Negocios y Equipo</t>
        </is>
      </c>
      <c r="F329" s="10" t="inlineStr">
        <is>
          <t>Mantenimiento</t>
        </is>
      </c>
      <c r="G329" s="12" t="inlineStr">
        <is>
          <t>Roles de negocio</t>
        </is>
      </c>
      <c r="H329" s="16" t="inlineStr">
        <is>
          <t>Expansión</t>
        </is>
      </c>
      <c r="I329" s="10" t="inlineStr">
        <is>
          <t>V2</t>
        </is>
      </c>
      <c r="J329" s="10" t="n">
        <v>21</v>
      </c>
      <c r="K329" s="12" t="inlineStr">
        <is>
          <t>Negocios</t>
        </is>
      </c>
      <c r="L329" s="12" t="inlineStr">
        <is>
          <t>OB-30-004</t>
        </is>
      </c>
      <c r="M329" s="12" t="inlineStr"/>
      <c r="N329" s="12" t="inlineStr"/>
    </row>
    <row r="330">
      <c r="A330" s="10" t="n">
        <v>325</v>
      </c>
      <c r="B330" s="11">
        <f>IF(C330="Completo","☑",IF(C330="En progreso","◐","☐"))</f>
        <v/>
      </c>
      <c r="C330" s="10" t="inlineStr">
        <is>
          <t>Pendiente</t>
        </is>
      </c>
      <c r="D330" s="10" t="inlineStr">
        <is>
          <t>BIZ-M04</t>
        </is>
      </c>
      <c r="E330" s="12" t="inlineStr">
        <is>
          <t>20 · Negocios y Equipo</t>
        </is>
      </c>
      <c r="F330" s="10" t="inlineStr">
        <is>
          <t>Mantenimiento</t>
        </is>
      </c>
      <c r="G330" s="12" t="inlineStr">
        <is>
          <t>Matriz de permisos</t>
        </is>
      </c>
      <c r="H330" s="16" t="inlineStr">
        <is>
          <t>Expansión</t>
        </is>
      </c>
      <c r="I330" s="10" t="inlineStr">
        <is>
          <t>V2</t>
        </is>
      </c>
      <c r="J330" s="10" t="n">
        <v>21</v>
      </c>
      <c r="K330" s="12" t="inlineStr">
        <is>
          <t>Negocios</t>
        </is>
      </c>
      <c r="L330" s="12" t="inlineStr">
        <is>
          <t>OB-30-005</t>
        </is>
      </c>
      <c r="M330" s="12" t="inlineStr"/>
      <c r="N330" s="12" t="inlineStr"/>
    </row>
    <row r="331">
      <c r="A331" s="10" t="n">
        <v>326</v>
      </c>
      <c r="B331" s="11">
        <f>IF(C331="Completo","☑",IF(C331="En progreso","◐","☐"))</f>
        <v/>
      </c>
      <c r="C331" s="10" t="inlineStr">
        <is>
          <t>Pendiente</t>
        </is>
      </c>
      <c r="D331" s="10" t="inlineStr">
        <is>
          <t>BIZ-F01</t>
        </is>
      </c>
      <c r="E331" s="12" t="inlineStr">
        <is>
          <t>20 · Negocios y Equipo</t>
        </is>
      </c>
      <c r="F331" s="10" t="inlineStr">
        <is>
          <t>Funcionalidad</t>
        </is>
      </c>
      <c r="G331" s="12" t="inlineStr">
        <is>
          <t>Crear negocio</t>
        </is>
      </c>
      <c r="H331" s="16" t="inlineStr">
        <is>
          <t>Expansión</t>
        </is>
      </c>
      <c r="I331" s="10" t="inlineStr">
        <is>
          <t>V2</t>
        </is>
      </c>
      <c r="J331" s="10" t="n">
        <v>21</v>
      </c>
      <c r="K331" s="12" t="inlineStr">
        <is>
          <t>Negocios</t>
        </is>
      </c>
      <c r="L331" s="12" t="inlineStr">
        <is>
          <t>OB-30-001</t>
        </is>
      </c>
      <c r="M331" s="12" t="inlineStr"/>
      <c r="N331" s="12" t="inlineStr"/>
    </row>
    <row r="332">
      <c r="A332" s="10" t="n">
        <v>327</v>
      </c>
      <c r="B332" s="11">
        <f>IF(C332="Completo","☑",IF(C332="En progreso","◐","☐"))</f>
        <v/>
      </c>
      <c r="C332" s="10" t="inlineStr">
        <is>
          <t>Pendiente</t>
        </is>
      </c>
      <c r="D332" s="10" t="inlineStr">
        <is>
          <t>BIZ-F02</t>
        </is>
      </c>
      <c r="E332" s="12" t="inlineStr">
        <is>
          <t>20 · Negocios y Equipo</t>
        </is>
      </c>
      <c r="F332" s="10" t="inlineStr">
        <is>
          <t>Funcionalidad</t>
        </is>
      </c>
      <c r="G332" s="12" t="inlineStr">
        <is>
          <t>Invitar empleados</t>
        </is>
      </c>
      <c r="H332" s="16" t="inlineStr">
        <is>
          <t>Expansión</t>
        </is>
      </c>
      <c r="I332" s="10" t="inlineStr">
        <is>
          <t>V2</t>
        </is>
      </c>
      <c r="J332" s="10" t="n">
        <v>21</v>
      </c>
      <c r="K332" s="12" t="inlineStr">
        <is>
          <t>Negocios</t>
        </is>
      </c>
      <c r="L332" s="12" t="inlineStr">
        <is>
          <t>OB-30-003</t>
        </is>
      </c>
      <c r="M332" s="12" t="inlineStr"/>
      <c r="N332" s="12" t="inlineStr"/>
    </row>
    <row r="333">
      <c r="A333" s="10" t="n">
        <v>328</v>
      </c>
      <c r="B333" s="11">
        <f>IF(C333="Completo","☑",IF(C333="En progreso","◐","☐"))</f>
        <v/>
      </c>
      <c r="C333" s="10" t="inlineStr">
        <is>
          <t>Pendiente</t>
        </is>
      </c>
      <c r="D333" s="10" t="inlineStr">
        <is>
          <t>BIZ-F03</t>
        </is>
      </c>
      <c r="E333" s="12" t="inlineStr">
        <is>
          <t>20 · Negocios y Equipo</t>
        </is>
      </c>
      <c r="F333" s="10" t="inlineStr">
        <is>
          <t>Funcionalidad</t>
        </is>
      </c>
      <c r="G333" s="12" t="inlineStr">
        <is>
          <t>Autorización por negocio/sucursal</t>
        </is>
      </c>
      <c r="H333" s="16" t="inlineStr">
        <is>
          <t>Expansión</t>
        </is>
      </c>
      <c r="I333" s="10" t="inlineStr">
        <is>
          <t>V2</t>
        </is>
      </c>
      <c r="J333" s="10" t="n">
        <v>21</v>
      </c>
      <c r="K333" s="12" t="inlineStr">
        <is>
          <t>Negocios</t>
        </is>
      </c>
      <c r="L333" s="12" t="inlineStr">
        <is>
          <t>OB-30-005</t>
        </is>
      </c>
      <c r="M333" s="12" t="inlineStr"/>
      <c r="N333" s="12" t="inlineStr"/>
    </row>
    <row r="334">
      <c r="A334" s="6" t="n">
        <v>329</v>
      </c>
      <c r="B334" s="7">
        <f>IF(C334="Completo","☑",IF(C334="En progreso","◐","☐"))</f>
        <v/>
      </c>
      <c r="C334" s="6" t="inlineStr">
        <is>
          <t>Pendiente</t>
        </is>
      </c>
      <c r="D334" s="6" t="inlineStr">
        <is>
          <t>SCH-F05</t>
        </is>
      </c>
      <c r="E334" s="8" t="inlineStr">
        <is>
          <t>12 · Agenda y Disponibilidad</t>
        </is>
      </c>
      <c r="F334" s="6" t="inlineStr">
        <is>
          <t>Funcionalidad</t>
        </is>
      </c>
      <c r="G334" s="8" t="inlineStr">
        <is>
          <t>Capacidad mayor a 1</t>
        </is>
      </c>
      <c r="H334" s="17" t="inlineStr">
        <is>
          <t>Expansión</t>
        </is>
      </c>
      <c r="I334" s="6" t="inlineStr">
        <is>
          <t>V2</t>
        </is>
      </c>
      <c r="J334" s="6" t="n">
        <v>22</v>
      </c>
      <c r="K334" s="8" t="inlineStr">
        <is>
          <t>Marketplace</t>
        </is>
      </c>
      <c r="L334" s="8" t="inlineStr">
        <is>
          <t>OB-11-007</t>
        </is>
      </c>
      <c r="M334" s="8" t="inlineStr"/>
      <c r="N334" s="8" t="inlineStr"/>
    </row>
    <row r="335">
      <c r="A335" s="6" t="n">
        <v>330</v>
      </c>
      <c r="B335" s="7">
        <f>IF(C335="Completo","☑",IF(C335="En progreso","◐","☐"))</f>
        <v/>
      </c>
      <c r="C335" s="6" t="inlineStr">
        <is>
          <t>Pendiente</t>
        </is>
      </c>
      <c r="D335" s="6" t="inlineStr">
        <is>
          <t>SCH-F06</t>
        </is>
      </c>
      <c r="E335" s="8" t="inlineStr">
        <is>
          <t>12 · Agenda y Disponibilidad</t>
        </is>
      </c>
      <c r="F335" s="6" t="inlineStr">
        <is>
          <t>Funcionalidad</t>
        </is>
      </c>
      <c r="G335" s="8" t="inlineStr">
        <is>
          <t>Agenda por empleado y sucursal</t>
        </is>
      </c>
      <c r="H335" s="17" t="inlineStr">
        <is>
          <t>Expansión</t>
        </is>
      </c>
      <c r="I335" s="6" t="inlineStr">
        <is>
          <t>V2</t>
        </is>
      </c>
      <c r="J335" s="6" t="n">
        <v>22</v>
      </c>
      <c r="K335" s="8" t="inlineStr">
        <is>
          <t>Marketplace</t>
        </is>
      </c>
      <c r="L335" s="8" t="inlineStr">
        <is>
          <t>OB-31-004</t>
        </is>
      </c>
      <c r="M335" s="8" t="inlineStr"/>
      <c r="N335" s="8" t="inlineStr"/>
    </row>
    <row r="336">
      <c r="A336" s="6" t="n">
        <v>331</v>
      </c>
      <c r="B336" s="7">
        <f>IF(C336="Completo","☑",IF(C336="En progreso","◐","☐"))</f>
        <v/>
      </c>
      <c r="C336" s="6" t="inlineStr">
        <is>
          <t>Pendiente</t>
        </is>
      </c>
      <c r="D336" s="6" t="inlineStr">
        <is>
          <t>BIZ-F04</t>
        </is>
      </c>
      <c r="E336" s="8" t="inlineStr">
        <is>
          <t>20 · Negocios y Equipo</t>
        </is>
      </c>
      <c r="F336" s="6" t="inlineStr">
        <is>
          <t>Funcionalidad</t>
        </is>
      </c>
      <c r="G336" s="8" t="inlineStr">
        <is>
          <t>Turnos</t>
        </is>
      </c>
      <c r="H336" s="17" t="inlineStr">
        <is>
          <t>Expansión</t>
        </is>
      </c>
      <c r="I336" s="6" t="inlineStr">
        <is>
          <t>V2</t>
        </is>
      </c>
      <c r="J336" s="6" t="n">
        <v>22</v>
      </c>
      <c r="K336" s="8" t="inlineStr">
        <is>
          <t>Negocios</t>
        </is>
      </c>
      <c r="L336" s="8" t="inlineStr">
        <is>
          <t>OB-31-001</t>
        </is>
      </c>
      <c r="M336" s="8" t="inlineStr"/>
      <c r="N336" s="8" t="inlineStr"/>
    </row>
    <row r="337">
      <c r="A337" s="6" t="n">
        <v>332</v>
      </c>
      <c r="B337" s="7">
        <f>IF(C337="Completo","☑",IF(C337="En progreso","◐","☐"))</f>
        <v/>
      </c>
      <c r="C337" s="6" t="inlineStr">
        <is>
          <t>Pendiente</t>
        </is>
      </c>
      <c r="D337" s="6" t="inlineStr">
        <is>
          <t>BIZ-F05</t>
        </is>
      </c>
      <c r="E337" s="8" t="inlineStr">
        <is>
          <t>20 · Negocios y Equipo</t>
        </is>
      </c>
      <c r="F337" s="6" t="inlineStr">
        <is>
          <t>Funcionalidad</t>
        </is>
      </c>
      <c r="G337" s="8" t="inlineStr">
        <is>
          <t>Vacaciones del personal</t>
        </is>
      </c>
      <c r="H337" s="17" t="inlineStr">
        <is>
          <t>Expansión</t>
        </is>
      </c>
      <c r="I337" s="6" t="inlineStr">
        <is>
          <t>V2</t>
        </is>
      </c>
      <c r="J337" s="6" t="n">
        <v>22</v>
      </c>
      <c r="K337" s="8" t="inlineStr">
        <is>
          <t>Negocios</t>
        </is>
      </c>
      <c r="L337" s="8" t="inlineStr">
        <is>
          <t>OB-31-002</t>
        </is>
      </c>
      <c r="M337" s="8" t="inlineStr"/>
      <c r="N337" s="8" t="inlineStr"/>
    </row>
    <row r="338">
      <c r="A338" s="6" t="n">
        <v>333</v>
      </c>
      <c r="B338" s="7">
        <f>IF(C338="Completo","☑",IF(C338="En progreso","◐","☐"))</f>
        <v/>
      </c>
      <c r="C338" s="6" t="inlineStr">
        <is>
          <t>Pendiente</t>
        </is>
      </c>
      <c r="D338" s="6" t="inlineStr">
        <is>
          <t>BIZ-F06</t>
        </is>
      </c>
      <c r="E338" s="8" t="inlineStr">
        <is>
          <t>20 · Negocios y Equipo</t>
        </is>
      </c>
      <c r="F338" s="6" t="inlineStr">
        <is>
          <t>Funcionalidad</t>
        </is>
      </c>
      <c r="G338" s="8" t="inlineStr">
        <is>
          <t>Ausencias</t>
        </is>
      </c>
      <c r="H338" s="17" t="inlineStr">
        <is>
          <t>Expansión</t>
        </is>
      </c>
      <c r="I338" s="6" t="inlineStr">
        <is>
          <t>V2</t>
        </is>
      </c>
      <c r="J338" s="6" t="n">
        <v>22</v>
      </c>
      <c r="K338" s="8" t="inlineStr">
        <is>
          <t>Negocios</t>
        </is>
      </c>
      <c r="L338" s="8" t="inlineStr">
        <is>
          <t>OB-31-003</t>
        </is>
      </c>
      <c r="M338" s="8" t="inlineStr"/>
      <c r="N338" s="8" t="inlineStr"/>
    </row>
    <row r="339">
      <c r="A339" s="6" t="n">
        <v>334</v>
      </c>
      <c r="B339" s="7">
        <f>IF(C339="Completo","☑",IF(C339="En progreso","◐","☐"))</f>
        <v/>
      </c>
      <c r="C339" s="6" t="inlineStr">
        <is>
          <t>Pendiente</t>
        </is>
      </c>
      <c r="D339" s="6" t="inlineStr">
        <is>
          <t>BIZ-F07</t>
        </is>
      </c>
      <c r="E339" s="8" t="inlineStr">
        <is>
          <t>20 · Negocios y Equipo</t>
        </is>
      </c>
      <c r="F339" s="6" t="inlineStr">
        <is>
          <t>Funcionalidad</t>
        </is>
      </c>
      <c r="G339" s="8" t="inlineStr">
        <is>
          <t>Disponibilidad por empleado / “cualquiera”</t>
        </is>
      </c>
      <c r="H339" s="17" t="inlineStr">
        <is>
          <t>Expansión</t>
        </is>
      </c>
      <c r="I339" s="6" t="inlineStr">
        <is>
          <t>V2</t>
        </is>
      </c>
      <c r="J339" s="6" t="n">
        <v>22</v>
      </c>
      <c r="K339" s="8" t="inlineStr">
        <is>
          <t>Negocios</t>
        </is>
      </c>
      <c r="L339" s="8" t="inlineStr">
        <is>
          <t>OB-31-004, OB-12-002</t>
        </is>
      </c>
      <c r="M339" s="8" t="inlineStr"/>
      <c r="N339" s="8" t="inlineStr"/>
    </row>
    <row r="340">
      <c r="A340" s="10" t="n">
        <v>335</v>
      </c>
      <c r="B340" s="11">
        <f>IF(C340="Completo","☑",IF(C340="En progreso","◐","☐"))</f>
        <v/>
      </c>
      <c r="C340" s="10" t="inlineStr">
        <is>
          <t>Pendiente</t>
        </is>
      </c>
      <c r="D340" s="10" t="inlineStr">
        <is>
          <t>LOY-M03</t>
        </is>
      </c>
      <c r="E340" s="12" t="inlineStr">
        <is>
          <t>19 · Wallet y Fidelización</t>
        </is>
      </c>
      <c r="F340" s="10" t="inlineStr">
        <is>
          <t>Mantenimiento</t>
        </is>
      </c>
      <c r="G340" s="12" t="inlineStr">
        <is>
          <t>Reglas de puntos</t>
        </is>
      </c>
      <c r="H340" s="16" t="inlineStr">
        <is>
          <t>Expansión</t>
        </is>
      </c>
      <c r="I340" s="10" t="inlineStr">
        <is>
          <t>V2</t>
        </is>
      </c>
      <c r="J340" s="10" t="n">
        <v>23</v>
      </c>
      <c r="K340" s="12" t="inlineStr">
        <is>
          <t>Dinero</t>
        </is>
      </c>
      <c r="L340" s="12" t="inlineStr">
        <is>
          <t>OB-25-001/002</t>
        </is>
      </c>
      <c r="M340" s="12" t="inlineStr"/>
      <c r="N340" s="12" t="inlineStr"/>
    </row>
    <row r="341">
      <c r="A341" s="10" t="n">
        <v>336</v>
      </c>
      <c r="B341" s="11">
        <f>IF(C341="Completo","☑",IF(C341="En progreso","◐","☐"))</f>
        <v/>
      </c>
      <c r="C341" s="10" t="inlineStr">
        <is>
          <t>Pendiente</t>
        </is>
      </c>
      <c r="D341" s="10" t="inlineStr">
        <is>
          <t>LOY-M04</t>
        </is>
      </c>
      <c r="E341" s="12" t="inlineStr">
        <is>
          <t>19 · Wallet y Fidelización</t>
        </is>
      </c>
      <c r="F341" s="10" t="inlineStr">
        <is>
          <t>Mantenimiento</t>
        </is>
      </c>
      <c r="G341" s="12" t="inlineStr">
        <is>
          <t>Niveles Beauty/Glow/Gold/Platinum</t>
        </is>
      </c>
      <c r="H341" s="16" t="inlineStr">
        <is>
          <t>Expansión</t>
        </is>
      </c>
      <c r="I341" s="10" t="inlineStr">
        <is>
          <t>V2</t>
        </is>
      </c>
      <c r="J341" s="10" t="n">
        <v>23</v>
      </c>
      <c r="K341" s="12" t="inlineStr">
        <is>
          <t>Dinero</t>
        </is>
      </c>
      <c r="L341" s="12" t="inlineStr">
        <is>
          <t>OB-25-004</t>
        </is>
      </c>
      <c r="M341" s="12" t="inlineStr"/>
      <c r="N341" s="12" t="inlineStr"/>
    </row>
    <row r="342">
      <c r="A342" s="10" t="n">
        <v>337</v>
      </c>
      <c r="B342" s="11">
        <f>IF(C342="Completo","☑",IF(C342="En progreso","◐","☐"))</f>
        <v/>
      </c>
      <c r="C342" s="10" t="inlineStr">
        <is>
          <t>Pendiente</t>
        </is>
      </c>
      <c r="D342" s="10" t="inlineStr">
        <is>
          <t>LOY-M05</t>
        </is>
      </c>
      <c r="E342" s="12" t="inlineStr">
        <is>
          <t>19 · Wallet y Fidelización</t>
        </is>
      </c>
      <c r="F342" s="10" t="inlineStr">
        <is>
          <t>Mantenimiento</t>
        </is>
      </c>
      <c r="G342" s="12" t="inlineStr">
        <is>
          <t>Reglas de referidos</t>
        </is>
      </c>
      <c r="H342" s="16" t="inlineStr">
        <is>
          <t>Expansión</t>
        </is>
      </c>
      <c r="I342" s="10" t="inlineStr">
        <is>
          <t>V2</t>
        </is>
      </c>
      <c r="J342" s="10" t="n">
        <v>23</v>
      </c>
      <c r="K342" s="12" t="inlineStr">
        <is>
          <t>Dinero</t>
        </is>
      </c>
      <c r="L342" s="12" t="inlineStr">
        <is>
          <t>OB-25-003</t>
        </is>
      </c>
      <c r="M342" s="12" t="inlineStr"/>
      <c r="N342" s="12" t="inlineStr"/>
    </row>
    <row r="343">
      <c r="A343" s="10" t="n">
        <v>338</v>
      </c>
      <c r="B343" s="11">
        <f>IF(C343="Completo","☑",IF(C343="En progreso","◐","☐"))</f>
        <v/>
      </c>
      <c r="C343" s="10" t="inlineStr">
        <is>
          <t>Pendiente</t>
        </is>
      </c>
      <c r="D343" s="10" t="inlineStr">
        <is>
          <t>LOY-F05</t>
        </is>
      </c>
      <c r="E343" s="12" t="inlineStr">
        <is>
          <t>19 · Wallet y Fidelización</t>
        </is>
      </c>
      <c r="F343" s="10" t="inlineStr">
        <is>
          <t>Funcionalidad</t>
        </is>
      </c>
      <c r="G343" s="12" t="inlineStr">
        <is>
          <t>Acumular puntos</t>
        </is>
      </c>
      <c r="H343" s="16" t="inlineStr">
        <is>
          <t>Expansión</t>
        </is>
      </c>
      <c r="I343" s="10" t="inlineStr">
        <is>
          <t>V2</t>
        </is>
      </c>
      <c r="J343" s="10" t="n">
        <v>23</v>
      </c>
      <c r="K343" s="12" t="inlineStr">
        <is>
          <t>Dinero</t>
        </is>
      </c>
      <c r="L343" s="12" t="inlineStr">
        <is>
          <t>OB-25-001</t>
        </is>
      </c>
      <c r="M343" s="12" t="inlineStr"/>
      <c r="N343" s="12" t="inlineStr"/>
    </row>
    <row r="344">
      <c r="A344" s="10" t="n">
        <v>339</v>
      </c>
      <c r="B344" s="11">
        <f>IF(C344="Completo","☑",IF(C344="En progreso","◐","☐"))</f>
        <v/>
      </c>
      <c r="C344" s="10" t="inlineStr">
        <is>
          <t>Pendiente</t>
        </is>
      </c>
      <c r="D344" s="10" t="inlineStr">
        <is>
          <t>LOY-F06</t>
        </is>
      </c>
      <c r="E344" s="12" t="inlineStr">
        <is>
          <t>19 · Wallet y Fidelización</t>
        </is>
      </c>
      <c r="F344" s="10" t="inlineStr">
        <is>
          <t>Funcionalidad</t>
        </is>
      </c>
      <c r="G344" s="12" t="inlineStr">
        <is>
          <t>Canjear puntos</t>
        </is>
      </c>
      <c r="H344" s="16" t="inlineStr">
        <is>
          <t>Expansión</t>
        </is>
      </c>
      <c r="I344" s="10" t="inlineStr">
        <is>
          <t>V2</t>
        </is>
      </c>
      <c r="J344" s="10" t="n">
        <v>23</v>
      </c>
      <c r="K344" s="12" t="inlineStr">
        <is>
          <t>Dinero</t>
        </is>
      </c>
      <c r="L344" s="12" t="inlineStr">
        <is>
          <t>OB-25-002</t>
        </is>
      </c>
      <c r="M344" s="12" t="inlineStr"/>
      <c r="N344" s="12" t="inlineStr"/>
    </row>
    <row r="345">
      <c r="A345" s="10" t="n">
        <v>340</v>
      </c>
      <c r="B345" s="11">
        <f>IF(C345="Completo","☑",IF(C345="En progreso","◐","☐"))</f>
        <v/>
      </c>
      <c r="C345" s="10" t="inlineStr">
        <is>
          <t>Pendiente</t>
        </is>
      </c>
      <c r="D345" s="10" t="inlineStr">
        <is>
          <t>LOY-F07</t>
        </is>
      </c>
      <c r="E345" s="12" t="inlineStr">
        <is>
          <t>19 · Wallet y Fidelización</t>
        </is>
      </c>
      <c r="F345" s="10" t="inlineStr">
        <is>
          <t>Funcionalidad</t>
        </is>
      </c>
      <c r="G345" s="12" t="inlineStr">
        <is>
          <t>Referidos</t>
        </is>
      </c>
      <c r="H345" s="16" t="inlineStr">
        <is>
          <t>Expansión</t>
        </is>
      </c>
      <c r="I345" s="10" t="inlineStr">
        <is>
          <t>V2</t>
        </is>
      </c>
      <c r="J345" s="10" t="n">
        <v>23</v>
      </c>
      <c r="K345" s="12" t="inlineStr">
        <is>
          <t>Dinero</t>
        </is>
      </c>
      <c r="L345" s="12" t="inlineStr">
        <is>
          <t>OB-25-003</t>
        </is>
      </c>
      <c r="M345" s="12" t="inlineStr"/>
      <c r="N345" s="12" t="inlineStr"/>
    </row>
    <row r="346">
      <c r="A346" s="10" t="n">
        <v>341</v>
      </c>
      <c r="B346" s="11">
        <f>IF(C346="Completo","☑",IF(C346="En progreso","◐","☐"))</f>
        <v/>
      </c>
      <c r="C346" s="10" t="inlineStr">
        <is>
          <t>Pendiente</t>
        </is>
      </c>
      <c r="D346" s="10" t="inlineStr">
        <is>
          <t>LOY-F08</t>
        </is>
      </c>
      <c r="E346" s="12" t="inlineStr">
        <is>
          <t>19 · Wallet y Fidelización</t>
        </is>
      </c>
      <c r="F346" s="10" t="inlineStr">
        <is>
          <t>Funcionalidad</t>
        </is>
      </c>
      <c r="G346" s="12" t="inlineStr">
        <is>
          <t>Consultar nivel</t>
        </is>
      </c>
      <c r="H346" s="16" t="inlineStr">
        <is>
          <t>Expansión</t>
        </is>
      </c>
      <c r="I346" s="10" t="inlineStr">
        <is>
          <t>V2</t>
        </is>
      </c>
      <c r="J346" s="10" t="n">
        <v>23</v>
      </c>
      <c r="K346" s="12" t="inlineStr">
        <is>
          <t>Dinero</t>
        </is>
      </c>
      <c r="L346" s="12" t="inlineStr">
        <is>
          <t>OB-25-004</t>
        </is>
      </c>
      <c r="M346" s="12" t="inlineStr"/>
      <c r="N346" s="12" t="inlineStr"/>
    </row>
    <row r="347">
      <c r="A347" s="10" t="n">
        <v>342</v>
      </c>
      <c r="B347" s="11">
        <f>IF(C347="Completo","☑",IF(C347="En progreso","◐","☐"))</f>
        <v/>
      </c>
      <c r="C347" s="10" t="inlineStr">
        <is>
          <t>Pendiente</t>
        </is>
      </c>
      <c r="D347" s="10" t="inlineStr">
        <is>
          <t>BOP-M01</t>
        </is>
      </c>
      <c r="E347" s="12" t="inlineStr">
        <is>
          <t>21 · CRM, POS e Inventario</t>
        </is>
      </c>
      <c r="F347" s="10" t="inlineStr">
        <is>
          <t>Mantenimiento</t>
        </is>
      </c>
      <c r="G347" s="12" t="inlineStr">
        <is>
          <t>Reglas de rebooking</t>
        </is>
      </c>
      <c r="H347" s="16" t="inlineStr">
        <is>
          <t>Expansión</t>
        </is>
      </c>
      <c r="I347" s="10" t="inlineStr">
        <is>
          <t>V2</t>
        </is>
      </c>
      <c r="J347" s="10" t="n">
        <v>23</v>
      </c>
      <c r="K347" s="12" t="inlineStr">
        <is>
          <t>Negocios</t>
        </is>
      </c>
      <c r="L347" s="12" t="inlineStr">
        <is>
          <t>OB-32-003</t>
        </is>
      </c>
      <c r="M347" s="12" t="inlineStr"/>
      <c r="N347" s="12" t="inlineStr"/>
    </row>
    <row r="348">
      <c r="A348" s="10" t="n">
        <v>343</v>
      </c>
      <c r="B348" s="11">
        <f>IF(C348="Completo","☑",IF(C348="En progreso","◐","☐"))</f>
        <v/>
      </c>
      <c r="C348" s="10" t="inlineStr">
        <is>
          <t>Pendiente</t>
        </is>
      </c>
      <c r="D348" s="10" t="inlineStr">
        <is>
          <t>BOP-F01</t>
        </is>
      </c>
      <c r="E348" s="12" t="inlineStr">
        <is>
          <t>21 · CRM, POS e Inventario</t>
        </is>
      </c>
      <c r="F348" s="10" t="inlineStr">
        <is>
          <t>Funcionalidad</t>
        </is>
      </c>
      <c r="G348" s="12" t="inlineStr">
        <is>
          <t>Ficha de cliente</t>
        </is>
      </c>
      <c r="H348" s="16" t="inlineStr">
        <is>
          <t>Expansión</t>
        </is>
      </c>
      <c r="I348" s="10" t="inlineStr">
        <is>
          <t>V2</t>
        </is>
      </c>
      <c r="J348" s="10" t="n">
        <v>23</v>
      </c>
      <c r="K348" s="12" t="inlineStr">
        <is>
          <t>Negocios</t>
        </is>
      </c>
      <c r="L348" s="12" t="inlineStr">
        <is>
          <t>OB-32-001</t>
        </is>
      </c>
      <c r="M348" s="12" t="inlineStr"/>
      <c r="N348" s="12" t="inlineStr"/>
    </row>
    <row r="349">
      <c r="A349" s="10" t="n">
        <v>344</v>
      </c>
      <c r="B349" s="11">
        <f>IF(C349="Completo","☑",IF(C349="En progreso","◐","☐"))</f>
        <v/>
      </c>
      <c r="C349" s="10" t="inlineStr">
        <is>
          <t>Pendiente</t>
        </is>
      </c>
      <c r="D349" s="10" t="inlineStr">
        <is>
          <t>BOP-F02</t>
        </is>
      </c>
      <c r="E349" s="12" t="inlineStr">
        <is>
          <t>21 · CRM, POS e Inventario</t>
        </is>
      </c>
      <c r="F349" s="10" t="inlineStr">
        <is>
          <t>Funcionalidad</t>
        </is>
      </c>
      <c r="G349" s="12" t="inlineStr">
        <is>
          <t>Segmentación de clientes</t>
        </is>
      </c>
      <c r="H349" s="16" t="inlineStr">
        <is>
          <t>Expansión</t>
        </is>
      </c>
      <c r="I349" s="10" t="inlineStr">
        <is>
          <t>V2</t>
        </is>
      </c>
      <c r="J349" s="10" t="n">
        <v>23</v>
      </c>
      <c r="K349" s="12" t="inlineStr">
        <is>
          <t>Negocios</t>
        </is>
      </c>
      <c r="L349" s="12" t="inlineStr">
        <is>
          <t>OB-32-002</t>
        </is>
      </c>
      <c r="M349" s="12" t="inlineStr"/>
      <c r="N349" s="12" t="inlineStr"/>
    </row>
    <row r="350">
      <c r="A350" s="10" t="n">
        <v>345</v>
      </c>
      <c r="B350" s="11">
        <f>IF(C350="Completo","☑",IF(C350="En progreso","◐","☐"))</f>
        <v/>
      </c>
      <c r="C350" s="10" t="inlineStr">
        <is>
          <t>Pendiente</t>
        </is>
      </c>
      <c r="D350" s="10" t="inlineStr">
        <is>
          <t>BOP-F03</t>
        </is>
      </c>
      <c r="E350" s="12" t="inlineStr">
        <is>
          <t>21 · CRM, POS e Inventario</t>
        </is>
      </c>
      <c r="F350" s="10" t="inlineStr">
        <is>
          <t>Funcionalidad</t>
        </is>
      </c>
      <c r="G350" s="12" t="inlineStr">
        <is>
          <t>Sugerir rebooking</t>
        </is>
      </c>
      <c r="H350" s="16" t="inlineStr">
        <is>
          <t>Expansión</t>
        </is>
      </c>
      <c r="I350" s="10" t="inlineStr">
        <is>
          <t>V2</t>
        </is>
      </c>
      <c r="J350" s="10" t="n">
        <v>23</v>
      </c>
      <c r="K350" s="12" t="inlineStr">
        <is>
          <t>Negocios</t>
        </is>
      </c>
      <c r="L350" s="12" t="inlineStr">
        <is>
          <t>OB-32-003</t>
        </is>
      </c>
      <c r="M350" s="12" t="inlineStr"/>
      <c r="N350" s="12" t="inlineStr"/>
    </row>
    <row r="351">
      <c r="A351" s="6" t="n">
        <v>346</v>
      </c>
      <c r="B351" s="7">
        <f>IF(C351="Completo","☑",IF(C351="En progreso","◐","☐"))</f>
        <v/>
      </c>
      <c r="C351" s="6" t="inlineStr">
        <is>
          <t>Pendiente</t>
        </is>
      </c>
      <c r="D351" s="6" t="inlineStr">
        <is>
          <t>LOY-M06</t>
        </is>
      </c>
      <c r="E351" s="8" t="inlineStr">
        <is>
          <t>19 · Wallet y Fidelización</t>
        </is>
      </c>
      <c r="F351" s="6" t="inlineStr">
        <is>
          <t>Mantenimiento</t>
        </is>
      </c>
      <c r="G351" s="8" t="inlineStr">
        <is>
          <t>Planes de membresía</t>
        </is>
      </c>
      <c r="H351" s="17" t="inlineStr">
        <is>
          <t>Expansión</t>
        </is>
      </c>
      <c r="I351" s="6" t="inlineStr">
        <is>
          <t>V2</t>
        </is>
      </c>
      <c r="J351" s="6" t="n">
        <v>24</v>
      </c>
      <c r="K351" s="8" t="inlineStr">
        <is>
          <t>Dinero</t>
        </is>
      </c>
      <c r="L351" s="8" t="inlineStr">
        <is>
          <t>OB-26-001</t>
        </is>
      </c>
      <c r="M351" s="8" t="inlineStr"/>
      <c r="N351" s="8" t="inlineStr"/>
    </row>
    <row r="352">
      <c r="A352" s="6" t="n">
        <v>347</v>
      </c>
      <c r="B352" s="7">
        <f>IF(C352="Completo","☑",IF(C352="En progreso","◐","☐"))</f>
        <v/>
      </c>
      <c r="C352" s="6" t="inlineStr">
        <is>
          <t>Pendiente</t>
        </is>
      </c>
      <c r="D352" s="6" t="inlineStr">
        <is>
          <t>LOY-M07</t>
        </is>
      </c>
      <c r="E352" s="8" t="inlineStr">
        <is>
          <t>19 · Wallet y Fidelización</t>
        </is>
      </c>
      <c r="F352" s="6" t="inlineStr">
        <is>
          <t>Mantenimiento</t>
        </is>
      </c>
      <c r="G352" s="8" t="inlineStr">
        <is>
          <t>Paquetes de servicios</t>
        </is>
      </c>
      <c r="H352" s="17" t="inlineStr">
        <is>
          <t>Expansión</t>
        </is>
      </c>
      <c r="I352" s="6" t="inlineStr">
        <is>
          <t>V2</t>
        </is>
      </c>
      <c r="J352" s="6" t="n">
        <v>24</v>
      </c>
      <c r="K352" s="8" t="inlineStr">
        <is>
          <t>Dinero</t>
        </is>
      </c>
      <c r="L352" s="8" t="inlineStr">
        <is>
          <t>OB-27-001</t>
        </is>
      </c>
      <c r="M352" s="8" t="inlineStr"/>
      <c r="N352" s="8" t="inlineStr"/>
    </row>
    <row r="353">
      <c r="A353" s="6" t="n">
        <v>348</v>
      </c>
      <c r="B353" s="7">
        <f>IF(C353="Completo","☑",IF(C353="En progreso","◐","☐"))</f>
        <v/>
      </c>
      <c r="C353" s="6" t="inlineStr">
        <is>
          <t>Pendiente</t>
        </is>
      </c>
      <c r="D353" s="6" t="inlineStr">
        <is>
          <t>LOY-F09</t>
        </is>
      </c>
      <c r="E353" s="8" t="inlineStr">
        <is>
          <t>19 · Wallet y Fidelización</t>
        </is>
      </c>
      <c r="F353" s="6" t="inlineStr">
        <is>
          <t>Funcionalidad</t>
        </is>
      </c>
      <c r="G353" s="8" t="inlineStr">
        <is>
          <t>Suscribirse a membresía</t>
        </is>
      </c>
      <c r="H353" s="17" t="inlineStr">
        <is>
          <t>Expansión</t>
        </is>
      </c>
      <c r="I353" s="6" t="inlineStr">
        <is>
          <t>V2</t>
        </is>
      </c>
      <c r="J353" s="6" t="n">
        <v>24</v>
      </c>
      <c r="K353" s="8" t="inlineStr">
        <is>
          <t>Dinero</t>
        </is>
      </c>
      <c r="L353" s="8" t="inlineStr">
        <is>
          <t>OB-26-002</t>
        </is>
      </c>
      <c r="M353" s="8" t="inlineStr"/>
      <c r="N353" s="8" t="inlineStr"/>
    </row>
    <row r="354">
      <c r="A354" s="6" t="n">
        <v>349</v>
      </c>
      <c r="B354" s="7">
        <f>IF(C354="Completo","☑",IF(C354="En progreso","◐","☐"))</f>
        <v/>
      </c>
      <c r="C354" s="6" t="inlineStr">
        <is>
          <t>Pendiente</t>
        </is>
      </c>
      <c r="D354" s="6" t="inlineStr">
        <is>
          <t>LOY-F10</t>
        </is>
      </c>
      <c r="E354" s="8" t="inlineStr">
        <is>
          <t>19 · Wallet y Fidelización</t>
        </is>
      </c>
      <c r="F354" s="6" t="inlineStr">
        <is>
          <t>Funcionalidad</t>
        </is>
      </c>
      <c r="G354" s="8" t="inlineStr">
        <is>
          <t>Comprar paquete</t>
        </is>
      </c>
      <c r="H354" s="17" t="inlineStr">
        <is>
          <t>Expansión</t>
        </is>
      </c>
      <c r="I354" s="6" t="inlineStr">
        <is>
          <t>V2</t>
        </is>
      </c>
      <c r="J354" s="6" t="n">
        <v>24</v>
      </c>
      <c r="K354" s="8" t="inlineStr">
        <is>
          <t>Dinero</t>
        </is>
      </c>
      <c r="L354" s="8" t="inlineStr">
        <is>
          <t>OB-27-001</t>
        </is>
      </c>
      <c r="M354" s="8" t="inlineStr"/>
      <c r="N354" s="8" t="inlineStr"/>
    </row>
    <row r="355">
      <c r="A355" s="6" t="n">
        <v>350</v>
      </c>
      <c r="B355" s="7">
        <f>IF(C355="Completo","☑",IF(C355="En progreso","◐","☐"))</f>
        <v/>
      </c>
      <c r="C355" s="6" t="inlineStr">
        <is>
          <t>Pendiente</t>
        </is>
      </c>
      <c r="D355" s="6" t="inlineStr">
        <is>
          <t>LOY-F11</t>
        </is>
      </c>
      <c r="E355" s="8" t="inlineStr">
        <is>
          <t>19 · Wallet y Fidelización</t>
        </is>
      </c>
      <c r="F355" s="6" t="inlineStr">
        <is>
          <t>Funcionalidad</t>
        </is>
      </c>
      <c r="G355" s="8" t="inlineStr">
        <is>
          <t>Consumir paquete</t>
        </is>
      </c>
      <c r="H355" s="17" t="inlineStr">
        <is>
          <t>Expansión</t>
        </is>
      </c>
      <c r="I355" s="6" t="inlineStr">
        <is>
          <t>V2</t>
        </is>
      </c>
      <c r="J355" s="6" t="n">
        <v>24</v>
      </c>
      <c r="K355" s="8" t="inlineStr">
        <is>
          <t>Dinero</t>
        </is>
      </c>
      <c r="L355" s="8" t="inlineStr">
        <is>
          <t>OB-27-002</t>
        </is>
      </c>
      <c r="M355" s="8" t="inlineStr"/>
      <c r="N355" s="8" t="inlineStr"/>
    </row>
    <row r="356">
      <c r="A356" s="6" t="n">
        <v>351</v>
      </c>
      <c r="B356" s="7">
        <f>IF(C356="Completo","☑",IF(C356="En progreso","◐","☐"))</f>
        <v/>
      </c>
      <c r="C356" s="6" t="inlineStr">
        <is>
          <t>Pendiente</t>
        </is>
      </c>
      <c r="D356" s="6" t="inlineStr">
        <is>
          <t>LOY-F12</t>
        </is>
      </c>
      <c r="E356" s="8" t="inlineStr">
        <is>
          <t>19 · Wallet y Fidelización</t>
        </is>
      </c>
      <c r="F356" s="6" t="inlineStr">
        <is>
          <t>Funcionalidad</t>
        </is>
      </c>
      <c r="G356" s="8" t="inlineStr">
        <is>
          <t>Balance de paquete</t>
        </is>
      </c>
      <c r="H356" s="17" t="inlineStr">
        <is>
          <t>Expansión</t>
        </is>
      </c>
      <c r="I356" s="6" t="inlineStr">
        <is>
          <t>V2</t>
        </is>
      </c>
      <c r="J356" s="6" t="n">
        <v>24</v>
      </c>
      <c r="K356" s="8" t="inlineStr">
        <is>
          <t>Dinero</t>
        </is>
      </c>
      <c r="L356" s="8" t="inlineStr">
        <is>
          <t>OB-27-003</t>
        </is>
      </c>
      <c r="M356" s="8" t="inlineStr"/>
      <c r="N356" s="8" t="inlineStr"/>
    </row>
    <row r="357">
      <c r="A357" s="10" t="n">
        <v>352</v>
      </c>
      <c r="B357" s="11">
        <f>IF(C357="Completo","☑",IF(C357="En progreso","◐","☐"))</f>
        <v/>
      </c>
      <c r="C357" s="10" t="inlineStr">
        <is>
          <t>Pendiente</t>
        </is>
      </c>
      <c r="D357" s="10" t="inlineStr">
        <is>
          <t>BOP-M02</t>
        </is>
      </c>
      <c r="E357" s="12" t="inlineStr">
        <is>
          <t>21 · CRM, POS e Inventario</t>
        </is>
      </c>
      <c r="F357" s="10" t="inlineStr">
        <is>
          <t>Mantenimiento</t>
        </is>
      </c>
      <c r="G357" s="12" t="inlineStr">
        <is>
          <t>Cajas por sucursal</t>
        </is>
      </c>
      <c r="H357" s="16" t="inlineStr">
        <is>
          <t>Expansión</t>
        </is>
      </c>
      <c r="I357" s="10" t="inlineStr">
        <is>
          <t>V2</t>
        </is>
      </c>
      <c r="J357" s="10" t="n">
        <v>25</v>
      </c>
      <c r="K357" s="12" t="inlineStr">
        <is>
          <t>Negocios</t>
        </is>
      </c>
      <c r="L357" s="12" t="inlineStr">
        <is>
          <t>OB-33-008</t>
        </is>
      </c>
      <c r="M357" s="12" t="inlineStr"/>
      <c r="N357" s="12" t="inlineStr"/>
    </row>
    <row r="358">
      <c r="A358" s="10" t="n">
        <v>353</v>
      </c>
      <c r="B358" s="11">
        <f>IF(C358="Completo","☑",IF(C358="En progreso","◐","☐"))</f>
        <v/>
      </c>
      <c r="C358" s="10" t="inlineStr">
        <is>
          <t>Pendiente</t>
        </is>
      </c>
      <c r="D358" s="10" t="inlineStr">
        <is>
          <t>BOP-M03</t>
        </is>
      </c>
      <c r="E358" s="12" t="inlineStr">
        <is>
          <t>21 · CRM, POS e Inventario</t>
        </is>
      </c>
      <c r="F358" s="10" t="inlineStr">
        <is>
          <t>Mantenimiento</t>
        </is>
      </c>
      <c r="G358" s="12" t="inlineStr">
        <is>
          <t>Métodos de pago POS</t>
        </is>
      </c>
      <c r="H358" s="16" t="inlineStr">
        <is>
          <t>Expansión</t>
        </is>
      </c>
      <c r="I358" s="10" t="inlineStr">
        <is>
          <t>V2</t>
        </is>
      </c>
      <c r="J358" s="10" t="n">
        <v>25</v>
      </c>
      <c r="K358" s="12" t="inlineStr">
        <is>
          <t>Negocios</t>
        </is>
      </c>
      <c r="L358" s="12" t="inlineStr">
        <is>
          <t>OB-33-006</t>
        </is>
      </c>
      <c r="M358" s="12" t="inlineStr"/>
      <c r="N358" s="12" t="inlineStr"/>
    </row>
    <row r="359">
      <c r="A359" s="10" t="n">
        <v>354</v>
      </c>
      <c r="B359" s="11">
        <f>IF(C359="Completo","☑",IF(C359="En progreso","◐","☐"))</f>
        <v/>
      </c>
      <c r="C359" s="10" t="inlineStr">
        <is>
          <t>Pendiente</t>
        </is>
      </c>
      <c r="D359" s="10" t="inlineStr">
        <is>
          <t>BOP-F04</t>
        </is>
      </c>
      <c r="E359" s="12" t="inlineStr">
        <is>
          <t>21 · CRM, POS e Inventario</t>
        </is>
      </c>
      <c r="F359" s="10" t="inlineStr">
        <is>
          <t>Funcionalidad</t>
        </is>
      </c>
      <c r="G359" s="12" t="inlineStr">
        <is>
          <t>POS: crear venta</t>
        </is>
      </c>
      <c r="H359" s="16" t="inlineStr">
        <is>
          <t>Expansión</t>
        </is>
      </c>
      <c r="I359" s="10" t="inlineStr">
        <is>
          <t>V2</t>
        </is>
      </c>
      <c r="J359" s="10" t="n">
        <v>25</v>
      </c>
      <c r="K359" s="12" t="inlineStr">
        <is>
          <t>Negocios</t>
        </is>
      </c>
      <c r="L359" s="12" t="inlineStr">
        <is>
          <t>OB-33-001</t>
        </is>
      </c>
      <c r="M359" s="12" t="inlineStr"/>
      <c r="N359" s="12" t="inlineStr"/>
    </row>
    <row r="360">
      <c r="A360" s="10" t="n">
        <v>355</v>
      </c>
      <c r="B360" s="11">
        <f>IF(C360="Completo","☑",IF(C360="En progreso","◐","☐"))</f>
        <v/>
      </c>
      <c r="C360" s="10" t="inlineStr">
        <is>
          <t>Pendiente</t>
        </is>
      </c>
      <c r="D360" s="10" t="inlineStr">
        <is>
          <t>BOP-F05</t>
        </is>
      </c>
      <c r="E360" s="12" t="inlineStr">
        <is>
          <t>21 · CRM, POS e Inventario</t>
        </is>
      </c>
      <c r="F360" s="10" t="inlineStr">
        <is>
          <t>Funcionalidad</t>
        </is>
      </c>
      <c r="G360" s="12" t="inlineStr">
        <is>
          <t>POS: añadir servicio</t>
        </is>
      </c>
      <c r="H360" s="16" t="inlineStr">
        <is>
          <t>Expansión</t>
        </is>
      </c>
      <c r="I360" s="10" t="inlineStr">
        <is>
          <t>V2</t>
        </is>
      </c>
      <c r="J360" s="10" t="n">
        <v>25</v>
      </c>
      <c r="K360" s="12" t="inlineStr">
        <is>
          <t>Negocios</t>
        </is>
      </c>
      <c r="L360" s="12" t="inlineStr">
        <is>
          <t>OB-33-002</t>
        </is>
      </c>
      <c r="M360" s="12" t="inlineStr"/>
      <c r="N360" s="12" t="inlineStr"/>
    </row>
    <row r="361">
      <c r="A361" s="10" t="n">
        <v>356</v>
      </c>
      <c r="B361" s="11">
        <f>IF(C361="Completo","☑",IF(C361="En progreso","◐","☐"))</f>
        <v/>
      </c>
      <c r="C361" s="10" t="inlineStr">
        <is>
          <t>Pendiente</t>
        </is>
      </c>
      <c r="D361" s="10" t="inlineStr">
        <is>
          <t>BOP-F06</t>
        </is>
      </c>
      <c r="E361" s="12" t="inlineStr">
        <is>
          <t>21 · CRM, POS e Inventario</t>
        </is>
      </c>
      <c r="F361" s="10" t="inlineStr">
        <is>
          <t>Funcionalidad</t>
        </is>
      </c>
      <c r="G361" s="12" t="inlineStr">
        <is>
          <t>POS: añadir producto</t>
        </is>
      </c>
      <c r="H361" s="16" t="inlineStr">
        <is>
          <t>Expansión</t>
        </is>
      </c>
      <c r="I361" s="10" t="inlineStr">
        <is>
          <t>V2</t>
        </is>
      </c>
      <c r="J361" s="10" t="n">
        <v>25</v>
      </c>
      <c r="K361" s="12" t="inlineStr">
        <is>
          <t>Negocios</t>
        </is>
      </c>
      <c r="L361" s="12" t="inlineStr">
        <is>
          <t>OB-33-003</t>
        </is>
      </c>
      <c r="M361" s="12" t="inlineStr"/>
      <c r="N361" s="12" t="inlineStr"/>
    </row>
    <row r="362">
      <c r="A362" s="10" t="n">
        <v>357</v>
      </c>
      <c r="B362" s="11">
        <f>IF(C362="Completo","☑",IF(C362="En progreso","◐","☐"))</f>
        <v/>
      </c>
      <c r="C362" s="10" t="inlineStr">
        <is>
          <t>Pendiente</t>
        </is>
      </c>
      <c r="D362" s="10" t="inlineStr">
        <is>
          <t>BOP-F07</t>
        </is>
      </c>
      <c r="E362" s="12" t="inlineStr">
        <is>
          <t>21 · CRM, POS e Inventario</t>
        </is>
      </c>
      <c r="F362" s="10" t="inlineStr">
        <is>
          <t>Funcionalidad</t>
        </is>
      </c>
      <c r="G362" s="12" t="inlineStr">
        <is>
          <t>POS: aplicar descuento</t>
        </is>
      </c>
      <c r="H362" s="16" t="inlineStr">
        <is>
          <t>Expansión</t>
        </is>
      </c>
      <c r="I362" s="10" t="inlineStr">
        <is>
          <t>V2</t>
        </is>
      </c>
      <c r="J362" s="10" t="n">
        <v>25</v>
      </c>
      <c r="K362" s="12" t="inlineStr">
        <is>
          <t>Negocios</t>
        </is>
      </c>
      <c r="L362" s="12" t="inlineStr">
        <is>
          <t>OB-33-004</t>
        </is>
      </c>
      <c r="M362" s="12" t="inlineStr"/>
      <c r="N362" s="12" t="inlineStr"/>
    </row>
    <row r="363">
      <c r="A363" s="10" t="n">
        <v>358</v>
      </c>
      <c r="B363" s="11">
        <f>IF(C363="Completo","☑",IF(C363="En progreso","◐","☐"))</f>
        <v/>
      </c>
      <c r="C363" s="10" t="inlineStr">
        <is>
          <t>Pendiente</t>
        </is>
      </c>
      <c r="D363" s="10" t="inlineStr">
        <is>
          <t>BOP-F08</t>
        </is>
      </c>
      <c r="E363" s="12" t="inlineStr">
        <is>
          <t>21 · CRM, POS e Inventario</t>
        </is>
      </c>
      <c r="F363" s="10" t="inlineStr">
        <is>
          <t>Funcionalidad</t>
        </is>
      </c>
      <c r="G363" s="12" t="inlineStr">
        <is>
          <t>POS: calcular impuestos</t>
        </is>
      </c>
      <c r="H363" s="16" t="inlineStr">
        <is>
          <t>Expansión</t>
        </is>
      </c>
      <c r="I363" s="10" t="inlineStr">
        <is>
          <t>V2</t>
        </is>
      </c>
      <c r="J363" s="10" t="n">
        <v>25</v>
      </c>
      <c r="K363" s="12" t="inlineStr">
        <is>
          <t>Negocios</t>
        </is>
      </c>
      <c r="L363" s="12" t="inlineStr">
        <is>
          <t>OB-33-005</t>
        </is>
      </c>
      <c r="M363" s="12" t="inlineStr"/>
      <c r="N363" s="12" t="inlineStr"/>
    </row>
    <row r="364">
      <c r="A364" s="10" t="n">
        <v>359</v>
      </c>
      <c r="B364" s="11">
        <f>IF(C364="Completo","☑",IF(C364="En progreso","◐","☐"))</f>
        <v/>
      </c>
      <c r="C364" s="10" t="inlineStr">
        <is>
          <t>Pendiente</t>
        </is>
      </c>
      <c r="D364" s="10" t="inlineStr">
        <is>
          <t>BOP-F09</t>
        </is>
      </c>
      <c r="E364" s="12" t="inlineStr">
        <is>
          <t>21 · CRM, POS e Inventario</t>
        </is>
      </c>
      <c r="F364" s="10" t="inlineStr">
        <is>
          <t>Funcionalidad</t>
        </is>
      </c>
      <c r="G364" s="12" t="inlineStr">
        <is>
          <t>POS: cobrar</t>
        </is>
      </c>
      <c r="H364" s="16" t="inlineStr">
        <is>
          <t>Expansión</t>
        </is>
      </c>
      <c r="I364" s="10" t="inlineStr">
        <is>
          <t>V2</t>
        </is>
      </c>
      <c r="J364" s="10" t="n">
        <v>25</v>
      </c>
      <c r="K364" s="12" t="inlineStr">
        <is>
          <t>Negocios</t>
        </is>
      </c>
      <c r="L364" s="12" t="inlineStr">
        <is>
          <t>OB-33-006</t>
        </is>
      </c>
      <c r="M364" s="12" t="inlineStr"/>
      <c r="N364" s="12" t="inlineStr"/>
    </row>
    <row r="365">
      <c r="A365" s="10" t="n">
        <v>360</v>
      </c>
      <c r="B365" s="11">
        <f>IF(C365="Completo","☑",IF(C365="En progreso","◐","☐"))</f>
        <v/>
      </c>
      <c r="C365" s="10" t="inlineStr">
        <is>
          <t>Pendiente</t>
        </is>
      </c>
      <c r="D365" s="10" t="inlineStr">
        <is>
          <t>BOP-F10</t>
        </is>
      </c>
      <c r="E365" s="12" t="inlineStr">
        <is>
          <t>21 · CRM, POS e Inventario</t>
        </is>
      </c>
      <c r="F365" s="10" t="inlineStr">
        <is>
          <t>Funcionalidad</t>
        </is>
      </c>
      <c r="G365" s="12" t="inlineStr">
        <is>
          <t>POS: recibo</t>
        </is>
      </c>
      <c r="H365" s="16" t="inlineStr">
        <is>
          <t>Expansión</t>
        </is>
      </c>
      <c r="I365" s="10" t="inlineStr">
        <is>
          <t>V2</t>
        </is>
      </c>
      <c r="J365" s="10" t="n">
        <v>25</v>
      </c>
      <c r="K365" s="12" t="inlineStr">
        <is>
          <t>Negocios</t>
        </is>
      </c>
      <c r="L365" s="12" t="inlineStr">
        <is>
          <t>OB-33-007</t>
        </is>
      </c>
      <c r="M365" s="12" t="inlineStr"/>
      <c r="N365" s="12" t="inlineStr"/>
    </row>
    <row r="366">
      <c r="A366" s="10" t="n">
        <v>361</v>
      </c>
      <c r="B366" s="11">
        <f>IF(C366="Completo","☑",IF(C366="En progreso","◐","☐"))</f>
        <v/>
      </c>
      <c r="C366" s="10" t="inlineStr">
        <is>
          <t>Pendiente</t>
        </is>
      </c>
      <c r="D366" s="10" t="inlineStr">
        <is>
          <t>BOP-F11</t>
        </is>
      </c>
      <c r="E366" s="12" t="inlineStr">
        <is>
          <t>21 · CRM, POS e Inventario</t>
        </is>
      </c>
      <c r="F366" s="10" t="inlineStr">
        <is>
          <t>Funcionalidad</t>
        </is>
      </c>
      <c r="G366" s="12" t="inlineStr">
        <is>
          <t>POS: cerrar caja</t>
        </is>
      </c>
      <c r="H366" s="16" t="inlineStr">
        <is>
          <t>Expansión</t>
        </is>
      </c>
      <c r="I366" s="10" t="inlineStr">
        <is>
          <t>V2</t>
        </is>
      </c>
      <c r="J366" s="10" t="n">
        <v>25</v>
      </c>
      <c r="K366" s="12" t="inlineStr">
        <is>
          <t>Negocios</t>
        </is>
      </c>
      <c r="L366" s="12" t="inlineStr">
        <is>
          <t>OB-33-008</t>
        </is>
      </c>
      <c r="M366" s="12" t="inlineStr"/>
      <c r="N366" s="12" t="inlineStr"/>
    </row>
    <row r="367">
      <c r="A367" s="6" t="n">
        <v>362</v>
      </c>
      <c r="B367" s="7">
        <f>IF(C367="Completo","☑",IF(C367="En progreso","◐","☐"))</f>
        <v/>
      </c>
      <c r="C367" s="6" t="inlineStr">
        <is>
          <t>Pendiente</t>
        </is>
      </c>
      <c r="D367" s="6" t="inlineStr">
        <is>
          <t>BOP-M04</t>
        </is>
      </c>
      <c r="E367" s="8" t="inlineStr">
        <is>
          <t>21 · CRM, POS e Inventario</t>
        </is>
      </c>
      <c r="F367" s="6" t="inlineStr">
        <is>
          <t>Mantenimiento</t>
        </is>
      </c>
      <c r="G367" s="8" t="inlineStr">
        <is>
          <t>Productos</t>
        </is>
      </c>
      <c r="H367" s="17" t="inlineStr">
        <is>
          <t>Expansión</t>
        </is>
      </c>
      <c r="I367" s="6" t="inlineStr">
        <is>
          <t>V2</t>
        </is>
      </c>
      <c r="J367" s="6" t="n">
        <v>26</v>
      </c>
      <c r="K367" s="8" t="inlineStr">
        <is>
          <t>Negocios</t>
        </is>
      </c>
      <c r="L367" s="8" t="inlineStr">
        <is>
          <t>OB-34-001</t>
        </is>
      </c>
      <c r="M367" s="8" t="inlineStr"/>
      <c r="N367" s="8" t="inlineStr"/>
    </row>
    <row r="368">
      <c r="A368" s="6" t="n">
        <v>363</v>
      </c>
      <c r="B368" s="7">
        <f>IF(C368="Completo","☑",IF(C368="En progreso","◐","☐"))</f>
        <v/>
      </c>
      <c r="C368" s="6" t="inlineStr">
        <is>
          <t>Pendiente</t>
        </is>
      </c>
      <c r="D368" s="6" t="inlineStr">
        <is>
          <t>BOP-M05</t>
        </is>
      </c>
      <c r="E368" s="8" t="inlineStr">
        <is>
          <t>21 · CRM, POS e Inventario</t>
        </is>
      </c>
      <c r="F368" s="6" t="inlineStr">
        <is>
          <t>Mantenimiento</t>
        </is>
      </c>
      <c r="G368" s="8" t="inlineStr">
        <is>
          <t>Mínimos de stock</t>
        </is>
      </c>
      <c r="H368" s="17" t="inlineStr">
        <is>
          <t>Expansión</t>
        </is>
      </c>
      <c r="I368" s="6" t="inlineStr">
        <is>
          <t>V2</t>
        </is>
      </c>
      <c r="J368" s="6" t="n">
        <v>26</v>
      </c>
      <c r="K368" s="8" t="inlineStr">
        <is>
          <t>Negocios</t>
        </is>
      </c>
      <c r="L368" s="8" t="inlineStr">
        <is>
          <t>OB-34-006</t>
        </is>
      </c>
      <c r="M368" s="8" t="inlineStr"/>
      <c r="N368" s="8" t="inlineStr"/>
    </row>
    <row r="369">
      <c r="A369" s="6" t="n">
        <v>364</v>
      </c>
      <c r="B369" s="7">
        <f>IF(C369="Completo","☑",IF(C369="En progreso","◐","☐"))</f>
        <v/>
      </c>
      <c r="C369" s="6" t="inlineStr">
        <is>
          <t>Pendiente</t>
        </is>
      </c>
      <c r="D369" s="6" t="inlineStr">
        <is>
          <t>BOP-M06</t>
        </is>
      </c>
      <c r="E369" s="8" t="inlineStr">
        <is>
          <t>21 · CRM, POS e Inventario</t>
        </is>
      </c>
      <c r="F369" s="6" t="inlineStr">
        <is>
          <t>Mantenimiento</t>
        </is>
      </c>
      <c r="G369" s="8" t="inlineStr">
        <is>
          <t>Consumo de insumos por servicio</t>
        </is>
      </c>
      <c r="H369" s="17" t="inlineStr">
        <is>
          <t>Expansión</t>
        </is>
      </c>
      <c r="I369" s="6" t="inlineStr">
        <is>
          <t>V2</t>
        </is>
      </c>
      <c r="J369" s="6" t="n">
        <v>26</v>
      </c>
      <c r="K369" s="8" t="inlineStr">
        <is>
          <t>Negocios</t>
        </is>
      </c>
      <c r="L369" s="8" t="inlineStr">
        <is>
          <t>OB-34-007</t>
        </is>
      </c>
      <c r="M369" s="8" t="inlineStr"/>
      <c r="N369" s="8" t="inlineStr"/>
    </row>
    <row r="370">
      <c r="A370" s="6" t="n">
        <v>365</v>
      </c>
      <c r="B370" s="7">
        <f>IF(C370="Completo","☑",IF(C370="En progreso","◐","☐"))</f>
        <v/>
      </c>
      <c r="C370" s="6" t="inlineStr">
        <is>
          <t>Pendiente</t>
        </is>
      </c>
      <c r="D370" s="6" t="inlineStr">
        <is>
          <t>BOP-F12</t>
        </is>
      </c>
      <c r="E370" s="8" t="inlineStr">
        <is>
          <t>21 · CRM, POS e Inventario</t>
        </is>
      </c>
      <c r="F370" s="6" t="inlineStr">
        <is>
          <t>Funcionalidad</t>
        </is>
      </c>
      <c r="G370" s="8" t="inlineStr">
        <is>
          <t>Existencias por sucursal</t>
        </is>
      </c>
      <c r="H370" s="17" t="inlineStr">
        <is>
          <t>Expansión</t>
        </is>
      </c>
      <c r="I370" s="6" t="inlineStr">
        <is>
          <t>V2</t>
        </is>
      </c>
      <c r="J370" s="6" t="n">
        <v>26</v>
      </c>
      <c r="K370" s="8" t="inlineStr">
        <is>
          <t>Negocios</t>
        </is>
      </c>
      <c r="L370" s="8" t="inlineStr">
        <is>
          <t>OB-34-002</t>
        </is>
      </c>
      <c r="M370" s="8" t="inlineStr"/>
      <c r="N370" s="8" t="inlineStr"/>
    </row>
    <row r="371">
      <c r="A371" s="6" t="n">
        <v>366</v>
      </c>
      <c r="B371" s="7">
        <f>IF(C371="Completo","☑",IF(C371="En progreso","◐","☐"))</f>
        <v/>
      </c>
      <c r="C371" s="6" t="inlineStr">
        <is>
          <t>Pendiente</t>
        </is>
      </c>
      <c r="D371" s="6" t="inlineStr">
        <is>
          <t>BOP-F13</t>
        </is>
      </c>
      <c r="E371" s="8" t="inlineStr">
        <is>
          <t>21 · CRM, POS e Inventario</t>
        </is>
      </c>
      <c r="F371" s="6" t="inlineStr">
        <is>
          <t>Funcionalidad</t>
        </is>
      </c>
      <c r="G371" s="8" t="inlineStr">
        <is>
          <t>Entradas</t>
        </is>
      </c>
      <c r="H371" s="17" t="inlineStr">
        <is>
          <t>Expansión</t>
        </is>
      </c>
      <c r="I371" s="6" t="inlineStr">
        <is>
          <t>V2</t>
        </is>
      </c>
      <c r="J371" s="6" t="n">
        <v>26</v>
      </c>
      <c r="K371" s="8" t="inlineStr">
        <is>
          <t>Negocios</t>
        </is>
      </c>
      <c r="L371" s="8" t="inlineStr">
        <is>
          <t>OB-34-003</t>
        </is>
      </c>
      <c r="M371" s="8" t="inlineStr"/>
      <c r="N371" s="8" t="inlineStr"/>
    </row>
    <row r="372">
      <c r="A372" s="6" t="n">
        <v>367</v>
      </c>
      <c r="B372" s="7">
        <f>IF(C372="Completo","☑",IF(C372="En progreso","◐","☐"))</f>
        <v/>
      </c>
      <c r="C372" s="6" t="inlineStr">
        <is>
          <t>Pendiente</t>
        </is>
      </c>
      <c r="D372" s="6" t="inlineStr">
        <is>
          <t>BOP-F14</t>
        </is>
      </c>
      <c r="E372" s="8" t="inlineStr">
        <is>
          <t>21 · CRM, POS e Inventario</t>
        </is>
      </c>
      <c r="F372" s="6" t="inlineStr">
        <is>
          <t>Funcionalidad</t>
        </is>
      </c>
      <c r="G372" s="8" t="inlineStr">
        <is>
          <t>Salidas</t>
        </is>
      </c>
      <c r="H372" s="17" t="inlineStr">
        <is>
          <t>Expansión</t>
        </is>
      </c>
      <c r="I372" s="6" t="inlineStr">
        <is>
          <t>V2</t>
        </is>
      </c>
      <c r="J372" s="6" t="n">
        <v>26</v>
      </c>
      <c r="K372" s="8" t="inlineStr">
        <is>
          <t>Negocios</t>
        </is>
      </c>
      <c r="L372" s="8" t="inlineStr">
        <is>
          <t>OB-34-004</t>
        </is>
      </c>
      <c r="M372" s="8" t="inlineStr"/>
      <c r="N372" s="8" t="inlineStr"/>
    </row>
    <row r="373">
      <c r="A373" s="6" t="n">
        <v>368</v>
      </c>
      <c r="B373" s="7">
        <f>IF(C373="Completo","☑",IF(C373="En progreso","◐","☐"))</f>
        <v/>
      </c>
      <c r="C373" s="6" t="inlineStr">
        <is>
          <t>Pendiente</t>
        </is>
      </c>
      <c r="D373" s="6" t="inlineStr">
        <is>
          <t>BOP-F15</t>
        </is>
      </c>
      <c r="E373" s="8" t="inlineStr">
        <is>
          <t>21 · CRM, POS e Inventario</t>
        </is>
      </c>
      <c r="F373" s="6" t="inlineStr">
        <is>
          <t>Funcionalidad</t>
        </is>
      </c>
      <c r="G373" s="8" t="inlineStr">
        <is>
          <t>Ajustes</t>
        </is>
      </c>
      <c r="H373" s="17" t="inlineStr">
        <is>
          <t>Expansión</t>
        </is>
      </c>
      <c r="I373" s="6" t="inlineStr">
        <is>
          <t>V2</t>
        </is>
      </c>
      <c r="J373" s="6" t="n">
        <v>26</v>
      </c>
      <c r="K373" s="8" t="inlineStr">
        <is>
          <t>Negocios</t>
        </is>
      </c>
      <c r="L373" s="8" t="inlineStr">
        <is>
          <t>OB-34-005</t>
        </is>
      </c>
      <c r="M373" s="8" t="inlineStr"/>
      <c r="N373" s="8" t="inlineStr"/>
    </row>
    <row r="374">
      <c r="A374" s="6" t="n">
        <v>369</v>
      </c>
      <c r="B374" s="7">
        <f>IF(C374="Completo","☑",IF(C374="En progreso","◐","☐"))</f>
        <v/>
      </c>
      <c r="C374" s="6" t="inlineStr">
        <is>
          <t>Pendiente</t>
        </is>
      </c>
      <c r="D374" s="6" t="inlineStr">
        <is>
          <t>BOP-F16</t>
        </is>
      </c>
      <c r="E374" s="8" t="inlineStr">
        <is>
          <t>21 · CRM, POS e Inventario</t>
        </is>
      </c>
      <c r="F374" s="6" t="inlineStr">
        <is>
          <t>Funcionalidad</t>
        </is>
      </c>
      <c r="G374" s="8" t="inlineStr">
        <is>
          <t>Alerta de bajo inventario</t>
        </is>
      </c>
      <c r="H374" s="17" t="inlineStr">
        <is>
          <t>Expansión</t>
        </is>
      </c>
      <c r="I374" s="6" t="inlineStr">
        <is>
          <t>V2</t>
        </is>
      </c>
      <c r="J374" s="6" t="n">
        <v>26</v>
      </c>
      <c r="K374" s="8" t="inlineStr">
        <is>
          <t>Negocios</t>
        </is>
      </c>
      <c r="L374" s="8" t="inlineStr">
        <is>
          <t>OB-34-006</t>
        </is>
      </c>
      <c r="M374" s="8" t="inlineStr"/>
      <c r="N374" s="8" t="inlineStr"/>
    </row>
    <row r="375">
      <c r="A375" s="6" t="n">
        <v>370</v>
      </c>
      <c r="B375" s="7">
        <f>IF(C375="Completo","☑",IF(C375="En progreso","◐","☐"))</f>
        <v/>
      </c>
      <c r="C375" s="6" t="inlineStr">
        <is>
          <t>Pendiente</t>
        </is>
      </c>
      <c r="D375" s="6" t="inlineStr">
        <is>
          <t>BOP-F17</t>
        </is>
      </c>
      <c r="E375" s="8" t="inlineStr">
        <is>
          <t>21 · CRM, POS e Inventario</t>
        </is>
      </c>
      <c r="F375" s="6" t="inlineStr">
        <is>
          <t>Funcionalidad</t>
        </is>
      </c>
      <c r="G375" s="8" t="inlineStr">
        <is>
          <t>Consumo por servicio</t>
        </is>
      </c>
      <c r="H375" s="17" t="inlineStr">
        <is>
          <t>Expansión</t>
        </is>
      </c>
      <c r="I375" s="6" t="inlineStr">
        <is>
          <t>V2</t>
        </is>
      </c>
      <c r="J375" s="6" t="n">
        <v>26</v>
      </c>
      <c r="K375" s="8" t="inlineStr">
        <is>
          <t>Negocios</t>
        </is>
      </c>
      <c r="L375" s="8" t="inlineStr">
        <is>
          <t>OB-34-007</t>
        </is>
      </c>
      <c r="M375" s="8" t="inlineStr"/>
      <c r="N375" s="8" t="inlineStr"/>
    </row>
    <row r="376">
      <c r="A376" s="10" t="n">
        <v>371</v>
      </c>
      <c r="B376" s="11">
        <f>IF(C376="Completo","☑",IF(C376="En progreso","◐","☐"))</f>
        <v/>
      </c>
      <c r="C376" s="10" t="inlineStr">
        <is>
          <t>Pendiente</t>
        </is>
      </c>
      <c r="D376" s="10" t="inlineStr">
        <is>
          <t>BIZ-M05</t>
        </is>
      </c>
      <c r="E376" s="12" t="inlineStr">
        <is>
          <t>20 · Negocios y Equipo</t>
        </is>
      </c>
      <c r="F376" s="10" t="inlineStr">
        <is>
          <t>Mantenimiento</t>
        </is>
      </c>
      <c r="G376" s="12" t="inlineStr">
        <is>
          <t>Reglas de comisión de empleados</t>
        </is>
      </c>
      <c r="H376" s="16" t="inlineStr">
        <is>
          <t>Expansión</t>
        </is>
      </c>
      <c r="I376" s="10" t="inlineStr">
        <is>
          <t>V2</t>
        </is>
      </c>
      <c r="J376" s="10" t="n">
        <v>27</v>
      </c>
      <c r="K376" s="12" t="inlineStr">
        <is>
          <t>Negocios</t>
        </is>
      </c>
      <c r="L376" s="12" t="inlineStr">
        <is>
          <t>OB-35-001</t>
        </is>
      </c>
      <c r="M376" s="12" t="inlineStr"/>
      <c r="N376" s="12" t="inlineStr"/>
    </row>
    <row r="377">
      <c r="A377" s="10" t="n">
        <v>372</v>
      </c>
      <c r="B377" s="11">
        <f>IF(C377="Completo","☑",IF(C377="En progreso","◐","☐"))</f>
        <v/>
      </c>
      <c r="C377" s="10" t="inlineStr">
        <is>
          <t>Pendiente</t>
        </is>
      </c>
      <c r="D377" s="10" t="inlineStr">
        <is>
          <t>BIZ-F08</t>
        </is>
      </c>
      <c r="E377" s="12" t="inlineStr">
        <is>
          <t>20 · Negocios y Equipo</t>
        </is>
      </c>
      <c r="F377" s="10" t="inlineStr">
        <is>
          <t>Funcionalidad</t>
        </is>
      </c>
      <c r="G377" s="12" t="inlineStr">
        <is>
          <t>Calcular comisiones</t>
        </is>
      </c>
      <c r="H377" s="16" t="inlineStr">
        <is>
          <t>Expansión</t>
        </is>
      </c>
      <c r="I377" s="10" t="inlineStr">
        <is>
          <t>V2</t>
        </is>
      </c>
      <c r="J377" s="10" t="n">
        <v>27</v>
      </c>
      <c r="K377" s="12" t="inlineStr">
        <is>
          <t>Negocios</t>
        </is>
      </c>
      <c r="L377" s="12" t="inlineStr">
        <is>
          <t>OB-35-002</t>
        </is>
      </c>
      <c r="M377" s="12" t="inlineStr"/>
      <c r="N377" s="12" t="inlineStr"/>
    </row>
    <row r="378">
      <c r="A378" s="10" t="n">
        <v>373</v>
      </c>
      <c r="B378" s="11">
        <f>IF(C378="Completo","☑",IF(C378="En progreso","◐","☐"))</f>
        <v/>
      </c>
      <c r="C378" s="10" t="inlineStr">
        <is>
          <t>Pendiente</t>
        </is>
      </c>
      <c r="D378" s="10" t="inlineStr">
        <is>
          <t>BIZ-F09</t>
        </is>
      </c>
      <c r="E378" s="12" t="inlineStr">
        <is>
          <t>20 · Negocios y Equipo</t>
        </is>
      </c>
      <c r="F378" s="10" t="inlineStr">
        <is>
          <t>Funcionalidad</t>
        </is>
      </c>
      <c r="G378" s="12" t="inlineStr">
        <is>
          <t>Reportar comisiones</t>
        </is>
      </c>
      <c r="H378" s="16" t="inlineStr">
        <is>
          <t>Expansión</t>
        </is>
      </c>
      <c r="I378" s="10" t="inlineStr">
        <is>
          <t>V2</t>
        </is>
      </c>
      <c r="J378" s="10" t="n">
        <v>27</v>
      </c>
      <c r="K378" s="12" t="inlineStr">
        <is>
          <t>Negocios</t>
        </is>
      </c>
      <c r="L378" s="12" t="inlineStr">
        <is>
          <t>OB-35-003</t>
        </is>
      </c>
      <c r="M378" s="12" t="inlineStr"/>
      <c r="N378" s="12" t="inlineStr"/>
    </row>
    <row r="379">
      <c r="A379" s="10" t="n">
        <v>374</v>
      </c>
      <c r="B379" s="11">
        <f>IF(C379="Completo","☑",IF(C379="En progreso","◐","☐"))</f>
        <v/>
      </c>
      <c r="C379" s="10" t="inlineStr">
        <is>
          <t>Pendiente</t>
        </is>
      </c>
      <c r="D379" s="10" t="inlineStr">
        <is>
          <t>ANA-F04</t>
        </is>
      </c>
      <c r="E379" s="12" t="inlineStr">
        <is>
          <t>22 · Analítica</t>
        </is>
      </c>
      <c r="F379" s="10" t="inlineStr">
        <is>
          <t>Funcionalidad</t>
        </is>
      </c>
      <c r="G379" s="12" t="inlineStr">
        <is>
          <t>Ingresos</t>
        </is>
      </c>
      <c r="H379" s="16" t="inlineStr">
        <is>
          <t>Expansión</t>
        </is>
      </c>
      <c r="I379" s="10" t="inlineStr">
        <is>
          <t>V2</t>
        </is>
      </c>
      <c r="J379" s="10" t="n">
        <v>27</v>
      </c>
      <c r="K379" s="12" t="inlineStr">
        <is>
          <t>Crecimiento</t>
        </is>
      </c>
      <c r="L379" s="12" t="inlineStr">
        <is>
          <t>OB-36-001</t>
        </is>
      </c>
      <c r="M379" s="12" t="inlineStr"/>
      <c r="N379" s="12" t="inlineStr"/>
    </row>
    <row r="380">
      <c r="A380" s="10" t="n">
        <v>375</v>
      </c>
      <c r="B380" s="11">
        <f>IF(C380="Completo","☑",IF(C380="En progreso","◐","☐"))</f>
        <v/>
      </c>
      <c r="C380" s="10" t="inlineStr">
        <is>
          <t>Pendiente</t>
        </is>
      </c>
      <c r="D380" s="10" t="inlineStr">
        <is>
          <t>ANA-F05</t>
        </is>
      </c>
      <c r="E380" s="12" t="inlineStr">
        <is>
          <t>22 · Analítica</t>
        </is>
      </c>
      <c r="F380" s="10" t="inlineStr">
        <is>
          <t>Funcionalidad</t>
        </is>
      </c>
      <c r="G380" s="12" t="inlineStr">
        <is>
          <t>Reservaciones</t>
        </is>
      </c>
      <c r="H380" s="16" t="inlineStr">
        <is>
          <t>Expansión</t>
        </is>
      </c>
      <c r="I380" s="10" t="inlineStr">
        <is>
          <t>V2</t>
        </is>
      </c>
      <c r="J380" s="10" t="n">
        <v>27</v>
      </c>
      <c r="K380" s="12" t="inlineStr">
        <is>
          <t>Crecimiento</t>
        </is>
      </c>
      <c r="L380" s="12" t="inlineStr">
        <is>
          <t>OB-36-002</t>
        </is>
      </c>
      <c r="M380" s="12" t="inlineStr"/>
      <c r="N380" s="12" t="inlineStr"/>
    </row>
    <row r="381">
      <c r="A381" s="10" t="n">
        <v>376</v>
      </c>
      <c r="B381" s="11">
        <f>IF(C381="Completo","☑",IF(C381="En progreso","◐","☐"))</f>
        <v/>
      </c>
      <c r="C381" s="10" t="inlineStr">
        <is>
          <t>Pendiente</t>
        </is>
      </c>
      <c r="D381" s="10" t="inlineStr">
        <is>
          <t>ANA-F06</t>
        </is>
      </c>
      <c r="E381" s="12" t="inlineStr">
        <is>
          <t>22 · Analítica</t>
        </is>
      </c>
      <c r="F381" s="10" t="inlineStr">
        <is>
          <t>Funcionalidad</t>
        </is>
      </c>
      <c r="G381" s="12" t="inlineStr">
        <is>
          <t>Ticket promedio</t>
        </is>
      </c>
      <c r="H381" s="16" t="inlineStr">
        <is>
          <t>Expansión</t>
        </is>
      </c>
      <c r="I381" s="10" t="inlineStr">
        <is>
          <t>V2</t>
        </is>
      </c>
      <c r="J381" s="10" t="n">
        <v>27</v>
      </c>
      <c r="K381" s="12" t="inlineStr">
        <is>
          <t>Crecimiento</t>
        </is>
      </c>
      <c r="L381" s="12" t="inlineStr">
        <is>
          <t>OB-36-003</t>
        </is>
      </c>
      <c r="M381" s="12" t="inlineStr"/>
      <c r="N381" s="12" t="inlineStr"/>
    </row>
    <row r="382">
      <c r="A382" s="10" t="n">
        <v>377</v>
      </c>
      <c r="B382" s="11">
        <f>IF(C382="Completo","☑",IF(C382="En progreso","◐","☐"))</f>
        <v/>
      </c>
      <c r="C382" s="10" t="inlineStr">
        <is>
          <t>Pendiente</t>
        </is>
      </c>
      <c r="D382" s="10" t="inlineStr">
        <is>
          <t>ANA-F07</t>
        </is>
      </c>
      <c r="E382" s="12" t="inlineStr">
        <is>
          <t>22 · Analítica</t>
        </is>
      </c>
      <c r="F382" s="10" t="inlineStr">
        <is>
          <t>Funcionalidad</t>
        </is>
      </c>
      <c r="G382" s="12" t="inlineStr">
        <is>
          <t>Ocupación</t>
        </is>
      </c>
      <c r="H382" s="16" t="inlineStr">
        <is>
          <t>Expansión</t>
        </is>
      </c>
      <c r="I382" s="10" t="inlineStr">
        <is>
          <t>V2</t>
        </is>
      </c>
      <c r="J382" s="10" t="n">
        <v>27</v>
      </c>
      <c r="K382" s="12" t="inlineStr">
        <is>
          <t>Crecimiento</t>
        </is>
      </c>
      <c r="L382" s="12" t="inlineStr">
        <is>
          <t>OB-36-004</t>
        </is>
      </c>
      <c r="M382" s="12" t="inlineStr"/>
      <c r="N382" s="12" t="inlineStr"/>
    </row>
    <row r="383">
      <c r="A383" s="10" t="n">
        <v>378</v>
      </c>
      <c r="B383" s="11">
        <f>IF(C383="Completo","☑",IF(C383="En progreso","◐","☐"))</f>
        <v/>
      </c>
      <c r="C383" s="10" t="inlineStr">
        <is>
          <t>Pendiente</t>
        </is>
      </c>
      <c r="D383" s="10" t="inlineStr">
        <is>
          <t>ANA-F08</t>
        </is>
      </c>
      <c r="E383" s="12" t="inlineStr">
        <is>
          <t>22 · Analítica</t>
        </is>
      </c>
      <c r="F383" s="10" t="inlineStr">
        <is>
          <t>Funcionalidad</t>
        </is>
      </c>
      <c r="G383" s="12" t="inlineStr">
        <is>
          <t>Cancelaciones y no-show</t>
        </is>
      </c>
      <c r="H383" s="16" t="inlineStr">
        <is>
          <t>Expansión</t>
        </is>
      </c>
      <c r="I383" s="10" t="inlineStr">
        <is>
          <t>V2</t>
        </is>
      </c>
      <c r="J383" s="10" t="n">
        <v>27</v>
      </c>
      <c r="K383" s="12" t="inlineStr">
        <is>
          <t>Crecimiento</t>
        </is>
      </c>
      <c r="L383" s="12" t="inlineStr">
        <is>
          <t>OB-36-005</t>
        </is>
      </c>
      <c r="M383" s="12" t="inlineStr"/>
      <c r="N383" s="12" t="inlineStr"/>
    </row>
    <row r="384">
      <c r="A384" s="10" t="n">
        <v>379</v>
      </c>
      <c r="B384" s="11">
        <f>IF(C384="Completo","☑",IF(C384="En progreso","◐","☐"))</f>
        <v/>
      </c>
      <c r="C384" s="10" t="inlineStr">
        <is>
          <t>Pendiente</t>
        </is>
      </c>
      <c r="D384" s="10" t="inlineStr">
        <is>
          <t>ANA-F09</t>
        </is>
      </c>
      <c r="E384" s="12" t="inlineStr">
        <is>
          <t>22 · Analítica</t>
        </is>
      </c>
      <c r="F384" s="10" t="inlineStr">
        <is>
          <t>Funcionalidad</t>
        </is>
      </c>
      <c r="G384" s="12" t="inlineStr">
        <is>
          <t>Clientes nuevos y recurrentes</t>
        </is>
      </c>
      <c r="H384" s="16" t="inlineStr">
        <is>
          <t>Expansión</t>
        </is>
      </c>
      <c r="I384" s="10" t="inlineStr">
        <is>
          <t>V2</t>
        </is>
      </c>
      <c r="J384" s="10" t="n">
        <v>27</v>
      </c>
      <c r="K384" s="12" t="inlineStr">
        <is>
          <t>Crecimiento</t>
        </is>
      </c>
      <c r="L384" s="12" t="inlineStr">
        <is>
          <t>OB-36-006</t>
        </is>
      </c>
      <c r="M384" s="12" t="inlineStr"/>
      <c r="N384" s="12" t="inlineStr"/>
    </row>
    <row r="385">
      <c r="A385" s="10" t="n">
        <v>380</v>
      </c>
      <c r="B385" s="11">
        <f>IF(C385="Completo","☑",IF(C385="En progreso","◐","☐"))</f>
        <v/>
      </c>
      <c r="C385" s="10" t="inlineStr">
        <is>
          <t>Pendiente</t>
        </is>
      </c>
      <c r="D385" s="10" t="inlineStr">
        <is>
          <t>ANA-F10</t>
        </is>
      </c>
      <c r="E385" s="12" t="inlineStr">
        <is>
          <t>22 · Analítica</t>
        </is>
      </c>
      <c r="F385" s="10" t="inlineStr">
        <is>
          <t>Funcionalidad</t>
        </is>
      </c>
      <c r="G385" s="12" t="inlineStr">
        <is>
          <t>Servicios más vendidos</t>
        </is>
      </c>
      <c r="H385" s="16" t="inlineStr">
        <is>
          <t>Expansión</t>
        </is>
      </c>
      <c r="I385" s="10" t="inlineStr">
        <is>
          <t>V2</t>
        </is>
      </c>
      <c r="J385" s="10" t="n">
        <v>27</v>
      </c>
      <c r="K385" s="12" t="inlineStr">
        <is>
          <t>Crecimiento</t>
        </is>
      </c>
      <c r="L385" s="12" t="inlineStr">
        <is>
          <t>OB-36-007</t>
        </is>
      </c>
      <c r="M385" s="12" t="inlineStr"/>
      <c r="N385" s="12" t="inlineStr"/>
    </row>
    <row r="386">
      <c r="A386" s="10" t="n">
        <v>381</v>
      </c>
      <c r="B386" s="11">
        <f>IF(C386="Completo","☑",IF(C386="En progreso","◐","☐"))</f>
        <v/>
      </c>
      <c r="C386" s="10" t="inlineStr">
        <is>
          <t>Pendiente</t>
        </is>
      </c>
      <c r="D386" s="10" t="inlineStr">
        <is>
          <t>ANA-F11</t>
        </is>
      </c>
      <c r="E386" s="12" t="inlineStr">
        <is>
          <t>22 · Analítica</t>
        </is>
      </c>
      <c r="F386" s="10" t="inlineStr">
        <is>
          <t>Funcionalidad</t>
        </is>
      </c>
      <c r="G386" s="12" t="inlineStr">
        <is>
          <t>Horarios más rentables</t>
        </is>
      </c>
      <c r="H386" s="16" t="inlineStr">
        <is>
          <t>Expansión</t>
        </is>
      </c>
      <c r="I386" s="10" t="inlineStr">
        <is>
          <t>V2</t>
        </is>
      </c>
      <c r="J386" s="10" t="n">
        <v>27</v>
      </c>
      <c r="K386" s="12" t="inlineStr">
        <is>
          <t>Crecimiento</t>
        </is>
      </c>
      <c r="L386" s="12" t="inlineStr">
        <is>
          <t>OB-36-008</t>
        </is>
      </c>
      <c r="M386" s="12" t="inlineStr"/>
      <c r="N386" s="12" t="inlineStr"/>
    </row>
    <row r="387">
      <c r="A387" s="6" t="n">
        <v>382</v>
      </c>
      <c r="B387" s="7">
        <f>IF(C387="Completo","☑",IF(C387="En progreso","◐","☐"))</f>
        <v/>
      </c>
      <c r="C387" s="6" t="inlineStr">
        <is>
          <t>Pendiente</t>
        </is>
      </c>
      <c r="D387" s="6" t="inlineStr">
        <is>
          <t>PLT-F21</t>
        </is>
      </c>
      <c r="E387" s="8" t="inlineStr">
        <is>
          <t>00 · Plataforma y Shared Kernel</t>
        </is>
      </c>
      <c r="F387" s="6" t="inlineStr">
        <is>
          <t>Funcionalidad</t>
        </is>
      </c>
      <c r="G387" s="8" t="inlineStr">
        <is>
          <t>Operaciones offline con cola idempotente</t>
        </is>
      </c>
      <c r="H387" s="17" t="inlineStr">
        <is>
          <t>Expansión</t>
        </is>
      </c>
      <c r="I387" s="6" t="inlineStr">
        <is>
          <t>V2</t>
        </is>
      </c>
      <c r="J387" s="6" t="n">
        <v>28</v>
      </c>
      <c r="K387" s="8" t="inlineStr">
        <is>
          <t>Base</t>
        </is>
      </c>
      <c r="L387" s="8" t="inlineStr">
        <is>
          <t>OB-52-002</t>
        </is>
      </c>
      <c r="M387" s="8" t="inlineStr"/>
      <c r="N387" s="8" t="inlineStr"/>
    </row>
    <row r="388">
      <c r="A388" s="6" t="n">
        <v>383</v>
      </c>
      <c r="B388" s="7">
        <f>IF(C388="Completo","☑",IF(C388="En progreso","◐","☐"))</f>
        <v/>
      </c>
      <c r="C388" s="6" t="inlineStr">
        <is>
          <t>Pendiente</t>
        </is>
      </c>
      <c r="D388" s="6" t="inlineStr">
        <is>
          <t>FED-F12</t>
        </is>
      </c>
      <c r="E388" s="8" t="inlineStr">
        <is>
          <t>05 · Feed, Explorar y Búsqueda</t>
        </is>
      </c>
      <c r="F388" s="6" t="inlineStr">
        <is>
          <t>Funcionalidad</t>
        </is>
      </c>
      <c r="G388" s="8" t="inlineStr">
        <is>
          <t>Motor de búsqueda externo (si la carga lo exige)</t>
        </is>
      </c>
      <c r="H388" s="17" t="inlineStr">
        <is>
          <t>Expansión</t>
        </is>
      </c>
      <c r="I388" s="6" t="inlineStr">
        <is>
          <t>V2</t>
        </is>
      </c>
      <c r="J388" s="6" t="n">
        <v>28</v>
      </c>
      <c r="K388" s="8" t="inlineStr">
        <is>
          <t>Red social</t>
        </is>
      </c>
      <c r="L388" s="8" t="inlineStr">
        <is>
          <t>TECH-06-002</t>
        </is>
      </c>
      <c r="M388" s="8" t="inlineStr"/>
      <c r="N388" s="8" t="inlineStr"/>
    </row>
    <row r="389">
      <c r="A389" s="6" t="n">
        <v>384</v>
      </c>
      <c r="B389" s="7">
        <f>IF(C389="Completo","☑",IF(C389="En progreso","◐","☐"))</f>
        <v/>
      </c>
      <c r="C389" s="6" t="inlineStr">
        <is>
          <t>Pendiente</t>
        </is>
      </c>
      <c r="D389" s="6" t="inlineStr">
        <is>
          <t>TRS-F15</t>
        </is>
      </c>
      <c r="E389" s="8" t="inlineStr">
        <is>
          <t>09 · Confianza y Seguridad</t>
        </is>
      </c>
      <c r="F389" s="6" t="inlineStr">
        <is>
          <t>Funcionalidad</t>
        </is>
      </c>
      <c r="G389" s="8" t="inlineStr">
        <is>
          <t>Moderación automática de imágenes</t>
        </is>
      </c>
      <c r="H389" s="17" t="inlineStr">
        <is>
          <t>Expansión</t>
        </is>
      </c>
      <c r="I389" s="6" t="inlineStr">
        <is>
          <t>V2</t>
        </is>
      </c>
      <c r="J389" s="6" t="n">
        <v>28</v>
      </c>
      <c r="K389" s="8" t="inlineStr">
        <is>
          <t>Soporte de la red</t>
        </is>
      </c>
      <c r="L389" s="8" t="inlineStr">
        <is>
          <t>—</t>
        </is>
      </c>
      <c r="M389" s="8" t="inlineStr"/>
      <c r="N389" s="8" t="inlineStr"/>
    </row>
    <row r="390">
      <c r="A390" s="6" t="n">
        <v>385</v>
      </c>
      <c r="B390" s="7">
        <f>IF(C390="Completo","☑",IF(C390="En progreso","◐","☐"))</f>
        <v/>
      </c>
      <c r="C390" s="6" t="inlineStr">
        <is>
          <t>Pendiente</t>
        </is>
      </c>
      <c r="D390" s="6" t="inlineStr">
        <is>
          <t>VER-F11</t>
        </is>
      </c>
      <c r="E390" s="8" t="inlineStr">
        <is>
          <t>10 · Profesionales y Verificación</t>
        </is>
      </c>
      <c r="F390" s="6" t="inlineStr">
        <is>
          <t>Funcionalidad</t>
        </is>
      </c>
      <c r="G390" s="8" t="inlineStr">
        <is>
          <t>Owney Verified Pro</t>
        </is>
      </c>
      <c r="H390" s="17" t="inlineStr">
        <is>
          <t>Expansión</t>
        </is>
      </c>
      <c r="I390" s="6" t="inlineStr">
        <is>
          <t>V2</t>
        </is>
      </c>
      <c r="J390" s="6" t="n">
        <v>28</v>
      </c>
      <c r="K390" s="8" t="inlineStr">
        <is>
          <t>Marketplace</t>
        </is>
      </c>
      <c r="L390" s="8" t="inlineStr">
        <is>
          <t>OB-06-003</t>
        </is>
      </c>
      <c r="M390" s="8" t="inlineStr"/>
      <c r="N390" s="8" t="inlineStr"/>
    </row>
    <row r="391">
      <c r="A391" s="6" t="n">
        <v>386</v>
      </c>
      <c r="B391" s="7">
        <f>IF(C391="Completo","☑",IF(C391="En progreso","◐","☐"))</f>
        <v/>
      </c>
      <c r="C391" s="6" t="inlineStr">
        <is>
          <t>Pendiente</t>
        </is>
      </c>
      <c r="D391" s="6" t="inlineStr">
        <is>
          <t>BKG-F16</t>
        </is>
      </c>
      <c r="E391" s="8" t="inlineStr">
        <is>
          <t>13 · Reservas</t>
        </is>
      </c>
      <c r="F391" s="6" t="inlineStr">
        <is>
          <t>Funcionalidad</t>
        </is>
      </c>
      <c r="G391" s="8" t="inlineStr">
        <is>
          <t>Reservas recurrentes</t>
        </is>
      </c>
      <c r="H391" s="17" t="inlineStr">
        <is>
          <t>Expansión</t>
        </is>
      </c>
      <c r="I391" s="6" t="inlineStr">
        <is>
          <t>V2</t>
        </is>
      </c>
      <c r="J391" s="6" t="n">
        <v>28</v>
      </c>
      <c r="K391" s="8" t="inlineStr">
        <is>
          <t>Marketplace</t>
        </is>
      </c>
      <c r="L391" s="8" t="inlineStr">
        <is>
          <t>OB-12-010</t>
        </is>
      </c>
      <c r="M391" s="8" t="inlineStr"/>
      <c r="N391" s="8" t="inlineStr"/>
    </row>
    <row r="392">
      <c r="A392" s="6" t="n">
        <v>387</v>
      </c>
      <c r="B392" s="7">
        <f>IF(C392="Completo","☑",IF(C392="En progreso","◐","☐"))</f>
        <v/>
      </c>
      <c r="C392" s="6" t="inlineStr">
        <is>
          <t>Pendiente</t>
        </is>
      </c>
      <c r="D392" s="6" t="inlineStr">
        <is>
          <t>DEV-F23</t>
        </is>
      </c>
      <c r="E392" s="8" t="inlineStr">
        <is>
          <t>DEV · Operación, Calidad y Entrega</t>
        </is>
      </c>
      <c r="F392" s="6" t="inlineStr">
        <is>
          <t>Funcionalidad</t>
        </is>
      </c>
      <c r="G392" s="8" t="inlineStr">
        <is>
          <t>Release Windows</t>
        </is>
      </c>
      <c r="H392" s="17" t="inlineStr">
        <is>
          <t>Expansión</t>
        </is>
      </c>
      <c r="I392" s="6" t="inlineStr">
        <is>
          <t>V2</t>
        </is>
      </c>
      <c r="J392" s="6" t="n">
        <v>28</v>
      </c>
      <c r="K392" s="8" t="inlineStr">
        <is>
          <t>Áreas transversales</t>
        </is>
      </c>
      <c r="L392" s="8" t="inlineStr">
        <is>
          <t>RELEASE-04-001</t>
        </is>
      </c>
      <c r="M392" s="8" t="inlineStr"/>
      <c r="N392" s="8" t="inlineStr"/>
    </row>
    <row r="393">
      <c r="A393" s="6" t="n">
        <v>388</v>
      </c>
      <c r="B393" s="7">
        <f>IF(C393="Completo","☑",IF(C393="En progreso","◐","☐"))</f>
        <v/>
      </c>
      <c r="C393" s="6" t="inlineStr">
        <is>
          <t>Pendiente</t>
        </is>
      </c>
      <c r="D393" s="6" t="inlineStr">
        <is>
          <t>DEV-F24</t>
        </is>
      </c>
      <c r="E393" s="8" t="inlineStr">
        <is>
          <t>DEV · Operación, Calidad y Entrega</t>
        </is>
      </c>
      <c r="F393" s="6" t="inlineStr">
        <is>
          <t>Funcionalidad</t>
        </is>
      </c>
      <c r="G393" s="8" t="inlineStr">
        <is>
          <t>Release macOS</t>
        </is>
      </c>
      <c r="H393" s="17" t="inlineStr">
        <is>
          <t>Expansión</t>
        </is>
      </c>
      <c r="I393" s="6" t="inlineStr">
        <is>
          <t>V2</t>
        </is>
      </c>
      <c r="J393" s="6" t="n">
        <v>28</v>
      </c>
      <c r="K393" s="8" t="inlineStr">
        <is>
          <t>Áreas transversales</t>
        </is>
      </c>
      <c r="L393" s="8" t="inlineStr">
        <is>
          <t>RELEASE-05-001</t>
        </is>
      </c>
      <c r="M393" s="8" t="inlineStr"/>
      <c r="N393" s="8" t="inlineStr"/>
    </row>
    <row r="394">
      <c r="A394" s="10" t="n">
        <v>389</v>
      </c>
      <c r="B394" s="11">
        <f>IF(C394="Completo","☑",IF(C394="En progreso","◐","☐"))</f>
        <v/>
      </c>
      <c r="C394" s="10" t="inlineStr">
        <is>
          <t>Pendiente</t>
        </is>
      </c>
      <c r="D394" s="10" t="inlineStr">
        <is>
          <t>EVT-M01</t>
        </is>
      </c>
      <c r="E394" s="12" t="inlineStr">
        <is>
          <t>23 · Eventos y Squad</t>
        </is>
      </c>
      <c r="F394" s="10" t="inlineStr">
        <is>
          <t>Mantenimiento</t>
        </is>
      </c>
      <c r="G394" s="12" t="inlineStr">
        <is>
          <t>Tipos de evento</t>
        </is>
      </c>
      <c r="H394" s="18" t="inlineStr">
        <is>
          <t>Visión</t>
        </is>
      </c>
      <c r="I394" s="10" t="inlineStr">
        <is>
          <t>V3</t>
        </is>
      </c>
      <c r="J394" s="10" t="n">
        <v>29</v>
      </c>
      <c r="K394" s="12" t="inlineStr">
        <is>
          <t>Crecimiento</t>
        </is>
      </c>
      <c r="L394" s="12" t="inlineStr">
        <is>
          <t>OB-28-001</t>
        </is>
      </c>
      <c r="M394" s="12" t="inlineStr"/>
      <c r="N394" s="12" t="inlineStr"/>
    </row>
    <row r="395">
      <c r="A395" s="10" t="n">
        <v>390</v>
      </c>
      <c r="B395" s="11">
        <f>IF(C395="Completo","☑",IF(C395="En progreso","◐","☐"))</f>
        <v/>
      </c>
      <c r="C395" s="10" t="inlineStr">
        <is>
          <t>Pendiente</t>
        </is>
      </c>
      <c r="D395" s="10" t="inlineStr">
        <is>
          <t>EVT-F01</t>
        </is>
      </c>
      <c r="E395" s="12" t="inlineStr">
        <is>
          <t>23 · Eventos y Squad</t>
        </is>
      </c>
      <c r="F395" s="10" t="inlineStr">
        <is>
          <t>Funcionalidad</t>
        </is>
      </c>
      <c r="G395" s="12" t="inlineStr">
        <is>
          <t>Crear evento</t>
        </is>
      </c>
      <c r="H395" s="18" t="inlineStr">
        <is>
          <t>Visión</t>
        </is>
      </c>
      <c r="I395" s="10" t="inlineStr">
        <is>
          <t>V3</t>
        </is>
      </c>
      <c r="J395" s="10" t="n">
        <v>29</v>
      </c>
      <c r="K395" s="12" t="inlineStr">
        <is>
          <t>Crecimiento</t>
        </is>
      </c>
      <c r="L395" s="12" t="inlineStr">
        <is>
          <t>OB-28-001</t>
        </is>
      </c>
      <c r="M395" s="12" t="inlineStr"/>
      <c r="N395" s="12" t="inlineStr"/>
    </row>
    <row r="396">
      <c r="A396" s="10" t="n">
        <v>391</v>
      </c>
      <c r="B396" s="11">
        <f>IF(C396="Completo","☑",IF(C396="En progreso","◐","☐"))</f>
        <v/>
      </c>
      <c r="C396" s="10" t="inlineStr">
        <is>
          <t>Pendiente</t>
        </is>
      </c>
      <c r="D396" s="10" t="inlineStr">
        <is>
          <t>EVT-F02</t>
        </is>
      </c>
      <c r="E396" s="12" t="inlineStr">
        <is>
          <t>23 · Eventos y Squad</t>
        </is>
      </c>
      <c r="F396" s="10" t="inlineStr">
        <is>
          <t>Funcionalidad</t>
        </is>
      </c>
      <c r="G396" s="12" t="inlineStr">
        <is>
          <t>Añadir participantes</t>
        </is>
      </c>
      <c r="H396" s="18" t="inlineStr">
        <is>
          <t>Visión</t>
        </is>
      </c>
      <c r="I396" s="10" t="inlineStr">
        <is>
          <t>V3</t>
        </is>
      </c>
      <c r="J396" s="10" t="n">
        <v>29</v>
      </c>
      <c r="K396" s="12" t="inlineStr">
        <is>
          <t>Crecimiento</t>
        </is>
      </c>
      <c r="L396" s="12" t="inlineStr">
        <is>
          <t>OB-28-002</t>
        </is>
      </c>
      <c r="M396" s="12" t="inlineStr"/>
      <c r="N396" s="12" t="inlineStr"/>
    </row>
    <row r="397">
      <c r="A397" s="10" t="n">
        <v>392</v>
      </c>
      <c r="B397" s="11">
        <f>IF(C397="Completo","☑",IF(C397="En progreso","◐","☐"))</f>
        <v/>
      </c>
      <c r="C397" s="10" t="inlineStr">
        <is>
          <t>Pendiente</t>
        </is>
      </c>
      <c r="D397" s="10" t="inlineStr">
        <is>
          <t>EVT-F03</t>
        </is>
      </c>
      <c r="E397" s="12" t="inlineStr">
        <is>
          <t>23 · Eventos y Squad</t>
        </is>
      </c>
      <c r="F397" s="10" t="inlineStr">
        <is>
          <t>Funcionalidad</t>
        </is>
      </c>
      <c r="G397" s="12" t="inlineStr">
        <is>
          <t>Servicios por participante</t>
        </is>
      </c>
      <c r="H397" s="18" t="inlineStr">
        <is>
          <t>Visión</t>
        </is>
      </c>
      <c r="I397" s="10" t="inlineStr">
        <is>
          <t>V3</t>
        </is>
      </c>
      <c r="J397" s="10" t="n">
        <v>29</v>
      </c>
      <c r="K397" s="12" t="inlineStr">
        <is>
          <t>Crecimiento</t>
        </is>
      </c>
      <c r="L397" s="12" t="inlineStr">
        <is>
          <t>OB-28-003</t>
        </is>
      </c>
      <c r="M397" s="12" t="inlineStr"/>
      <c r="N397" s="12" t="inlineStr"/>
    </row>
    <row r="398">
      <c r="A398" s="6" t="n">
        <v>393</v>
      </c>
      <c r="B398" s="7">
        <f>IF(C398="Completo","☑",IF(C398="En progreso","◐","☐"))</f>
        <v/>
      </c>
      <c r="C398" s="6" t="inlineStr">
        <is>
          <t>Pendiente</t>
        </is>
      </c>
      <c r="D398" s="6" t="inlineStr">
        <is>
          <t>EVT-F04</t>
        </is>
      </c>
      <c r="E398" s="8" t="inlineStr">
        <is>
          <t>23 · Eventos y Squad</t>
        </is>
      </c>
      <c r="F398" s="6" t="inlineStr">
        <is>
          <t>Funcionalidad</t>
        </is>
      </c>
      <c r="G398" s="8" t="inlineStr">
        <is>
          <t>Cronograma</t>
        </is>
      </c>
      <c r="H398" s="19" t="inlineStr">
        <is>
          <t>Visión</t>
        </is>
      </c>
      <c r="I398" s="6" t="inlineStr">
        <is>
          <t>V3</t>
        </is>
      </c>
      <c r="J398" s="6" t="n">
        <v>30</v>
      </c>
      <c r="K398" s="8" t="inlineStr">
        <is>
          <t>Crecimiento</t>
        </is>
      </c>
      <c r="L398" s="8" t="inlineStr">
        <is>
          <t>OB-28-004</t>
        </is>
      </c>
      <c r="M398" s="8" t="inlineStr"/>
      <c r="N398" s="8" t="inlineStr"/>
    </row>
    <row r="399">
      <c r="A399" s="6" t="n">
        <v>394</v>
      </c>
      <c r="B399" s="7">
        <f>IF(C399="Completo","☑",IF(C399="En progreso","◐","☐"))</f>
        <v/>
      </c>
      <c r="C399" s="6" t="inlineStr">
        <is>
          <t>Pendiente</t>
        </is>
      </c>
      <c r="D399" s="6" t="inlineStr">
        <is>
          <t>EVT-F05</t>
        </is>
      </c>
      <c r="E399" s="8" t="inlineStr">
        <is>
          <t>23 · Eventos y Squad</t>
        </is>
      </c>
      <c r="F399" s="6" t="inlineStr">
        <is>
          <t>Funcionalidad</t>
        </is>
      </c>
      <c r="G399" s="8" t="inlineStr">
        <is>
          <t>Coordinar varios profesionales</t>
        </is>
      </c>
      <c r="H399" s="19" t="inlineStr">
        <is>
          <t>Visión</t>
        </is>
      </c>
      <c r="I399" s="6" t="inlineStr">
        <is>
          <t>V3</t>
        </is>
      </c>
      <c r="J399" s="6" t="n">
        <v>30</v>
      </c>
      <c r="K399" s="8" t="inlineStr">
        <is>
          <t>Crecimiento</t>
        </is>
      </c>
      <c r="L399" s="8" t="inlineStr">
        <is>
          <t>OB-28-005</t>
        </is>
      </c>
      <c r="M399" s="8" t="inlineStr"/>
      <c r="N399" s="8" t="inlineStr"/>
    </row>
    <row r="400">
      <c r="A400" s="6" t="n">
        <v>395</v>
      </c>
      <c r="B400" s="7">
        <f>IF(C400="Completo","☑",IF(C400="En progreso","◐","☐"))</f>
        <v/>
      </c>
      <c r="C400" s="6" t="inlineStr">
        <is>
          <t>Pendiente</t>
        </is>
      </c>
      <c r="D400" s="6" t="inlineStr">
        <is>
          <t>EVT-F06</t>
        </is>
      </c>
      <c r="E400" s="8" t="inlineStr">
        <is>
          <t>23 · Eventos y Squad</t>
        </is>
      </c>
      <c r="F400" s="6" t="inlineStr">
        <is>
          <t>Funcionalidad</t>
        </is>
      </c>
      <c r="G400" s="8" t="inlineStr">
        <is>
          <t>Recomendar equipo (Squad)</t>
        </is>
      </c>
      <c r="H400" s="19" t="inlineStr">
        <is>
          <t>Visión</t>
        </is>
      </c>
      <c r="I400" s="6" t="inlineStr">
        <is>
          <t>V3</t>
        </is>
      </c>
      <c r="J400" s="6" t="n">
        <v>30</v>
      </c>
      <c r="K400" s="8" t="inlineStr">
        <is>
          <t>Crecimiento</t>
        </is>
      </c>
      <c r="L400" s="8" t="inlineStr">
        <is>
          <t>OB-29-001</t>
        </is>
      </c>
      <c r="M400" s="8" t="inlineStr"/>
      <c r="N400" s="8" t="inlineStr"/>
    </row>
    <row r="401">
      <c r="A401" s="10" t="n">
        <v>396</v>
      </c>
      <c r="B401" s="11">
        <f>IF(C401="Completo","☑",IF(C401="En progreso","◐","☐"))</f>
        <v/>
      </c>
      <c r="C401" s="10" t="inlineStr">
        <is>
          <t>Pendiente</t>
        </is>
      </c>
      <c r="D401" s="10" t="inlineStr">
        <is>
          <t>MKT-M02</t>
        </is>
      </c>
      <c r="E401" s="12" t="inlineStr">
        <is>
          <t>16 · Promociones y Precios</t>
        </is>
      </c>
      <c r="F401" s="10" t="inlineStr">
        <is>
          <t>Mantenimiento</t>
        </is>
      </c>
      <c r="G401" s="12" t="inlineStr">
        <is>
          <t>Reglas de Smart Pricing</t>
        </is>
      </c>
      <c r="H401" s="18" t="inlineStr">
        <is>
          <t>Visión</t>
        </is>
      </c>
      <c r="I401" s="10" t="inlineStr">
        <is>
          <t>V3</t>
        </is>
      </c>
      <c r="J401" s="10" t="n">
        <v>31</v>
      </c>
      <c r="K401" s="12" t="inlineStr">
        <is>
          <t>Marketplace</t>
        </is>
      </c>
      <c r="L401" s="12" t="inlineStr">
        <is>
          <t>OB-24</t>
        </is>
      </c>
      <c r="M401" s="12" t="inlineStr"/>
      <c r="N401" s="12" t="inlineStr"/>
    </row>
    <row r="402">
      <c r="A402" s="10" t="n">
        <v>397</v>
      </c>
      <c r="B402" s="11">
        <f>IF(C402="Completo","☑",IF(C402="En progreso","◐","☐"))</f>
        <v/>
      </c>
      <c r="C402" s="10" t="inlineStr">
        <is>
          <t>Pendiente</t>
        </is>
      </c>
      <c r="D402" s="10" t="inlineStr">
        <is>
          <t>MKT-F07</t>
        </is>
      </c>
      <c r="E402" s="12" t="inlineStr">
        <is>
          <t>16 · Promociones y Precios</t>
        </is>
      </c>
      <c r="F402" s="10" t="inlineStr">
        <is>
          <t>Funcionalidad</t>
        </is>
      </c>
      <c r="G402" s="12" t="inlineStr">
        <is>
          <t>Precio para baja demanda</t>
        </is>
      </c>
      <c r="H402" s="18" t="inlineStr">
        <is>
          <t>Visión</t>
        </is>
      </c>
      <c r="I402" s="10" t="inlineStr">
        <is>
          <t>V3</t>
        </is>
      </c>
      <c r="J402" s="10" t="n">
        <v>31</v>
      </c>
      <c r="K402" s="12" t="inlineStr">
        <is>
          <t>Marketplace</t>
        </is>
      </c>
      <c r="L402" s="12" t="inlineStr">
        <is>
          <t>OB-24-001</t>
        </is>
      </c>
      <c r="M402" s="12" t="inlineStr"/>
      <c r="N402" s="12" t="inlineStr"/>
    </row>
    <row r="403">
      <c r="A403" s="10" t="n">
        <v>398</v>
      </c>
      <c r="B403" s="11">
        <f>IF(C403="Completo","☑",IF(C403="En progreso","◐","☐"))</f>
        <v/>
      </c>
      <c r="C403" s="10" t="inlineStr">
        <is>
          <t>Pendiente</t>
        </is>
      </c>
      <c r="D403" s="10" t="inlineStr">
        <is>
          <t>MKT-F08</t>
        </is>
      </c>
      <c r="E403" s="12" t="inlineStr">
        <is>
          <t>16 · Promociones y Precios</t>
        </is>
      </c>
      <c r="F403" s="10" t="inlineStr">
        <is>
          <t>Funcionalidad</t>
        </is>
      </c>
      <c r="G403" s="12" t="inlineStr">
        <is>
          <t>Precio para alta demanda</t>
        </is>
      </c>
      <c r="H403" s="18" t="inlineStr">
        <is>
          <t>Visión</t>
        </is>
      </c>
      <c r="I403" s="10" t="inlineStr">
        <is>
          <t>V3</t>
        </is>
      </c>
      <c r="J403" s="10" t="n">
        <v>31</v>
      </c>
      <c r="K403" s="12" t="inlineStr">
        <is>
          <t>Marketplace</t>
        </is>
      </c>
      <c r="L403" s="12" t="inlineStr">
        <is>
          <t>OB-24-002</t>
        </is>
      </c>
      <c r="M403" s="12" t="inlineStr"/>
      <c r="N403" s="12" t="inlineStr"/>
    </row>
    <row r="404">
      <c r="A404" s="10" t="n">
        <v>399</v>
      </c>
      <c r="B404" s="11">
        <f>IF(C404="Completo","☑",IF(C404="En progreso","◐","☐"))</f>
        <v/>
      </c>
      <c r="C404" s="10" t="inlineStr">
        <is>
          <t>Pendiente</t>
        </is>
      </c>
      <c r="D404" s="10" t="inlineStr">
        <is>
          <t>MKT-F09</t>
        </is>
      </c>
      <c r="E404" s="12" t="inlineStr">
        <is>
          <t>16 · Promociones y Precios</t>
        </is>
      </c>
      <c r="F404" s="10" t="inlineStr">
        <is>
          <t>Funcionalidad</t>
        </is>
      </c>
      <c r="G404" s="12" t="inlineStr">
        <is>
          <t>Transparencia del ajuste</t>
        </is>
      </c>
      <c r="H404" s="18" t="inlineStr">
        <is>
          <t>Visión</t>
        </is>
      </c>
      <c r="I404" s="10" t="inlineStr">
        <is>
          <t>V3</t>
        </is>
      </c>
      <c r="J404" s="10" t="n">
        <v>31</v>
      </c>
      <c r="K404" s="12" t="inlineStr">
        <is>
          <t>Marketplace</t>
        </is>
      </c>
      <c r="L404" s="12" t="inlineStr">
        <is>
          <t>OB-24-003</t>
        </is>
      </c>
      <c r="M404" s="12" t="inlineStr"/>
      <c r="N404" s="12" t="inlineStr"/>
    </row>
    <row r="405">
      <c r="A405" s="10" t="n">
        <v>400</v>
      </c>
      <c r="B405" s="11">
        <f>IF(C405="Completo","☑",IF(C405="En progreso","◐","☐"))</f>
        <v/>
      </c>
      <c r="C405" s="10" t="inlineStr">
        <is>
          <t>Pendiente</t>
        </is>
      </c>
      <c r="D405" s="10" t="inlineStr">
        <is>
          <t>AI-M01</t>
        </is>
      </c>
      <c r="E405" s="12" t="inlineStr">
        <is>
          <t>24 · Inteligencia Artificial</t>
        </is>
      </c>
      <c r="F405" s="10" t="inlineStr">
        <is>
          <t>Mantenimiento</t>
        </is>
      </c>
      <c r="G405" s="12" t="inlineStr">
        <is>
          <t>Proveedor de modelo, límites y costos</t>
        </is>
      </c>
      <c r="H405" s="18" t="inlineStr">
        <is>
          <t>Visión</t>
        </is>
      </c>
      <c r="I405" s="10" t="inlineStr">
        <is>
          <t>V3</t>
        </is>
      </c>
      <c r="J405" s="10" t="n">
        <v>31</v>
      </c>
      <c r="K405" s="12" t="inlineStr">
        <is>
          <t>Crecimiento</t>
        </is>
      </c>
      <c r="L405" s="12" t="inlineStr">
        <is>
          <t>§15.4</t>
        </is>
      </c>
      <c r="M405" s="12" t="inlineStr"/>
      <c r="N405" s="12" t="inlineStr"/>
    </row>
    <row r="406">
      <c r="A406" s="10" t="n">
        <v>401</v>
      </c>
      <c r="B406" s="11">
        <f>IF(C406="Completo","☑",IF(C406="En progreso","◐","☐"))</f>
        <v/>
      </c>
      <c r="C406" s="10" t="inlineStr">
        <is>
          <t>Pendiente</t>
        </is>
      </c>
      <c r="D406" s="10" t="inlineStr">
        <is>
          <t>AI-M02</t>
        </is>
      </c>
      <c r="E406" s="12" t="inlineStr">
        <is>
          <t>24 · Inteligencia Artificial</t>
        </is>
      </c>
      <c r="F406" s="10" t="inlineStr">
        <is>
          <t>Mantenimiento</t>
        </is>
      </c>
      <c r="G406" s="12" t="inlineStr">
        <is>
          <t>Taxonomía de estilos</t>
        </is>
      </c>
      <c r="H406" s="18" t="inlineStr">
        <is>
          <t>Visión</t>
        </is>
      </c>
      <c r="I406" s="10" t="inlineStr">
        <is>
          <t>V3</t>
        </is>
      </c>
      <c r="J406" s="10" t="n">
        <v>31</v>
      </c>
      <c r="K406" s="12" t="inlineStr">
        <is>
          <t>Crecimiento</t>
        </is>
      </c>
      <c r="L406" s="12" t="inlineStr">
        <is>
          <t>OB-37-001</t>
        </is>
      </c>
      <c r="M406" s="12" t="inlineStr"/>
      <c r="N406" s="12" t="inlineStr"/>
    </row>
    <row r="407">
      <c r="A407" s="10" t="n">
        <v>402</v>
      </c>
      <c r="B407" s="11">
        <f>IF(C407="Completo","☑",IF(C407="En progreso","◐","☐"))</f>
        <v/>
      </c>
      <c r="C407" s="10" t="inlineStr">
        <is>
          <t>Pendiente</t>
        </is>
      </c>
      <c r="D407" s="10" t="inlineStr">
        <is>
          <t>AI-F01</t>
        </is>
      </c>
      <c r="E407" s="12" t="inlineStr">
        <is>
          <t>24 · Inteligencia Artificial</t>
        </is>
      </c>
      <c r="F407" s="10" t="inlineStr">
        <is>
          <t>Funcionalidad</t>
        </is>
      </c>
      <c r="G407" s="12" t="inlineStr">
        <is>
          <t>Analizar inspiración</t>
        </is>
      </c>
      <c r="H407" s="18" t="inlineStr">
        <is>
          <t>Visión</t>
        </is>
      </c>
      <c r="I407" s="10" t="inlineStr">
        <is>
          <t>V3</t>
        </is>
      </c>
      <c r="J407" s="10" t="n">
        <v>31</v>
      </c>
      <c r="K407" s="12" t="inlineStr">
        <is>
          <t>Crecimiento</t>
        </is>
      </c>
      <c r="L407" s="12" t="inlineStr">
        <is>
          <t>OB-37-001</t>
        </is>
      </c>
      <c r="M407" s="12" t="inlineStr"/>
      <c r="N407" s="12" t="inlineStr"/>
    </row>
    <row r="408">
      <c r="A408" s="10" t="n">
        <v>403</v>
      </c>
      <c r="B408" s="11">
        <f>IF(C408="Completo","☑",IF(C408="En progreso","◐","☐"))</f>
        <v/>
      </c>
      <c r="C408" s="10" t="inlineStr">
        <is>
          <t>Pendiente</t>
        </is>
      </c>
      <c r="D408" s="10" t="inlineStr">
        <is>
          <t>AI-F02</t>
        </is>
      </c>
      <c r="E408" s="12" t="inlineStr">
        <is>
          <t>24 · Inteligencia Artificial</t>
        </is>
      </c>
      <c r="F408" s="10" t="inlineStr">
        <is>
          <t>Funcionalidad</t>
        </is>
      </c>
      <c r="G408" s="12" t="inlineStr">
        <is>
          <t>Trabajos similares</t>
        </is>
      </c>
      <c r="H408" s="18" t="inlineStr">
        <is>
          <t>Visión</t>
        </is>
      </c>
      <c r="I408" s="10" t="inlineStr">
        <is>
          <t>V3</t>
        </is>
      </c>
      <c r="J408" s="10" t="n">
        <v>31</v>
      </c>
      <c r="K408" s="12" t="inlineStr">
        <is>
          <t>Crecimiento</t>
        </is>
      </c>
      <c r="L408" s="12" t="inlineStr">
        <is>
          <t>OB-37-002</t>
        </is>
      </c>
      <c r="M408" s="12" t="inlineStr"/>
      <c r="N408" s="12" t="inlineStr"/>
    </row>
    <row r="409">
      <c r="A409" s="6" t="n">
        <v>404</v>
      </c>
      <c r="B409" s="7">
        <f>IF(C409="Completo","☑",IF(C409="En progreso","◐","☐"))</f>
        <v/>
      </c>
      <c r="C409" s="6" t="inlineStr">
        <is>
          <t>Pendiente</t>
        </is>
      </c>
      <c r="D409" s="6" t="inlineStr">
        <is>
          <t>AI-F03</t>
        </is>
      </c>
      <c r="E409" s="8" t="inlineStr">
        <is>
          <t>24 · Inteligencia Artificial</t>
        </is>
      </c>
      <c r="F409" s="6" t="inlineStr">
        <is>
          <t>Funcionalidad</t>
        </is>
      </c>
      <c r="G409" s="8" t="inlineStr">
        <is>
          <t>Asistente: ventas</t>
        </is>
      </c>
      <c r="H409" s="19" t="inlineStr">
        <is>
          <t>Visión</t>
        </is>
      </c>
      <c r="I409" s="6" t="inlineStr">
        <is>
          <t>V3</t>
        </is>
      </c>
      <c r="J409" s="6" t="n">
        <v>32</v>
      </c>
      <c r="K409" s="8" t="inlineStr">
        <is>
          <t>Crecimiento</t>
        </is>
      </c>
      <c r="L409" s="8" t="inlineStr">
        <is>
          <t>OB-38-001</t>
        </is>
      </c>
      <c r="M409" s="8" t="inlineStr"/>
      <c r="N409" s="8" t="inlineStr"/>
    </row>
    <row r="410">
      <c r="A410" s="6" t="n">
        <v>405</v>
      </c>
      <c r="B410" s="7">
        <f>IF(C410="Completo","☑",IF(C410="En progreso","◐","☐"))</f>
        <v/>
      </c>
      <c r="C410" s="6" t="inlineStr">
        <is>
          <t>Pendiente</t>
        </is>
      </c>
      <c r="D410" s="6" t="inlineStr">
        <is>
          <t>AI-F04</t>
        </is>
      </c>
      <c r="E410" s="8" t="inlineStr">
        <is>
          <t>24 · Inteligencia Artificial</t>
        </is>
      </c>
      <c r="F410" s="6" t="inlineStr">
        <is>
          <t>Funcionalidad</t>
        </is>
      </c>
      <c r="G410" s="8" t="inlineStr">
        <is>
          <t>Asistente: ocupación</t>
        </is>
      </c>
      <c r="H410" s="19" t="inlineStr">
        <is>
          <t>Visión</t>
        </is>
      </c>
      <c r="I410" s="6" t="inlineStr">
        <is>
          <t>V3</t>
        </is>
      </c>
      <c r="J410" s="6" t="n">
        <v>32</v>
      </c>
      <c r="K410" s="8" t="inlineStr">
        <is>
          <t>Crecimiento</t>
        </is>
      </c>
      <c r="L410" s="8" t="inlineStr">
        <is>
          <t>OB-38-002</t>
        </is>
      </c>
      <c r="M410" s="8" t="inlineStr"/>
      <c r="N410" s="8" t="inlineStr"/>
    </row>
    <row r="411">
      <c r="A411" s="6" t="n">
        <v>406</v>
      </c>
      <c r="B411" s="7">
        <f>IF(C411="Completo","☑",IF(C411="En progreso","◐","☐"))</f>
        <v/>
      </c>
      <c r="C411" s="6" t="inlineStr">
        <is>
          <t>Pendiente</t>
        </is>
      </c>
      <c r="D411" s="6" t="inlineStr">
        <is>
          <t>AI-F05</t>
        </is>
      </c>
      <c r="E411" s="8" t="inlineStr">
        <is>
          <t>24 · Inteligencia Artificial</t>
        </is>
      </c>
      <c r="F411" s="6" t="inlineStr">
        <is>
          <t>Funcionalidad</t>
        </is>
      </c>
      <c r="G411" s="8" t="inlineStr">
        <is>
          <t>Asistente: clientes</t>
        </is>
      </c>
      <c r="H411" s="19" t="inlineStr">
        <is>
          <t>Visión</t>
        </is>
      </c>
      <c r="I411" s="6" t="inlineStr">
        <is>
          <t>V3</t>
        </is>
      </c>
      <c r="J411" s="6" t="n">
        <v>32</v>
      </c>
      <c r="K411" s="8" t="inlineStr">
        <is>
          <t>Crecimiento</t>
        </is>
      </c>
      <c r="L411" s="8" t="inlineStr">
        <is>
          <t>OB-38-003</t>
        </is>
      </c>
      <c r="M411" s="8" t="inlineStr"/>
      <c r="N411" s="8" t="inlineStr"/>
    </row>
    <row r="412">
      <c r="A412" s="6" t="n">
        <v>407</v>
      </c>
      <c r="B412" s="7">
        <f>IF(C412="Completo","☑",IF(C412="En progreso","◐","☐"))</f>
        <v/>
      </c>
      <c r="C412" s="6" t="inlineStr">
        <is>
          <t>Pendiente</t>
        </is>
      </c>
      <c r="D412" s="6" t="inlineStr">
        <is>
          <t>AI-F06</t>
        </is>
      </c>
      <c r="E412" s="8" t="inlineStr">
        <is>
          <t>24 · Inteligencia Artificial</t>
        </is>
      </c>
      <c r="F412" s="6" t="inlineStr">
        <is>
          <t>Funcionalidad</t>
        </is>
      </c>
      <c r="G412" s="8" t="inlineStr">
        <is>
          <t>Asistente: horarios vacíos</t>
        </is>
      </c>
      <c r="H412" s="19" t="inlineStr">
        <is>
          <t>Visión</t>
        </is>
      </c>
      <c r="I412" s="6" t="inlineStr">
        <is>
          <t>V3</t>
        </is>
      </c>
      <c r="J412" s="6" t="n">
        <v>32</v>
      </c>
      <c r="K412" s="8" t="inlineStr">
        <is>
          <t>Crecimiento</t>
        </is>
      </c>
      <c r="L412" s="8" t="inlineStr">
        <is>
          <t>OB-38-004</t>
        </is>
      </c>
      <c r="M412" s="8" t="inlineStr"/>
      <c r="N412" s="8" t="inlineStr"/>
    </row>
    <row r="413">
      <c r="A413" s="6" t="n">
        <v>408</v>
      </c>
      <c r="B413" s="7">
        <f>IF(C413="Completo","☑",IF(C413="En progreso","◐","☐"))</f>
        <v/>
      </c>
      <c r="C413" s="6" t="inlineStr">
        <is>
          <t>Pendiente</t>
        </is>
      </c>
      <c r="D413" s="6" t="inlineStr">
        <is>
          <t>AI-F07</t>
        </is>
      </c>
      <c r="E413" s="8" t="inlineStr">
        <is>
          <t>24 · Inteligencia Artificial</t>
        </is>
      </c>
      <c r="F413" s="6" t="inlineStr">
        <is>
          <t>Funcionalidad</t>
        </is>
      </c>
      <c r="G413" s="8" t="inlineStr">
        <is>
          <t>Asistente: sugerir promociones</t>
        </is>
      </c>
      <c r="H413" s="19" t="inlineStr">
        <is>
          <t>Visión</t>
        </is>
      </c>
      <c r="I413" s="6" t="inlineStr">
        <is>
          <t>V3</t>
        </is>
      </c>
      <c r="J413" s="6" t="n">
        <v>32</v>
      </c>
      <c r="K413" s="8" t="inlineStr">
        <is>
          <t>Crecimiento</t>
        </is>
      </c>
      <c r="L413" s="8" t="inlineStr">
        <is>
          <t>OB-38-005</t>
        </is>
      </c>
      <c r="M413" s="8" t="inlineStr"/>
      <c r="N413" s="8" t="inlineStr"/>
    </row>
    <row r="414">
      <c r="A414" s="6" t="n">
        <v>409</v>
      </c>
      <c r="B414" s="7">
        <f>IF(C414="Completo","☑",IF(C414="En progreso","◐","☐"))</f>
        <v/>
      </c>
      <c r="C414" s="6" t="inlineStr">
        <is>
          <t>Pendiente</t>
        </is>
      </c>
      <c r="D414" s="6" t="inlineStr">
        <is>
          <t>AI-F08</t>
        </is>
      </c>
      <c r="E414" s="8" t="inlineStr">
        <is>
          <t>24 · Inteligencia Artificial</t>
        </is>
      </c>
      <c r="F414" s="6" t="inlineStr">
        <is>
          <t>Funcionalidad</t>
        </is>
      </c>
      <c r="G414" s="8" t="inlineStr">
        <is>
          <t>Auditoría de acciones y fallback</t>
        </is>
      </c>
      <c r="H414" s="19" t="inlineStr">
        <is>
          <t>Visión</t>
        </is>
      </c>
      <c r="I414" s="6" t="inlineStr">
        <is>
          <t>V3</t>
        </is>
      </c>
      <c r="J414" s="6" t="n">
        <v>32</v>
      </c>
      <c r="K414" s="8" t="inlineStr">
        <is>
          <t>Crecimiento</t>
        </is>
      </c>
      <c r="L414" s="8" t="inlineStr">
        <is>
          <t>§15.4</t>
        </is>
      </c>
      <c r="M414" s="8" t="inlineStr"/>
      <c r="N414" s="8" t="inlineStr"/>
    </row>
    <row r="415">
      <c r="A415" s="10" t="n">
        <v>410</v>
      </c>
      <c r="B415" s="11">
        <f>IF(C415="Completo","☑",IF(C415="En progreso","◐","☐"))</f>
        <v/>
      </c>
      <c r="C415" s="10" t="inlineStr">
        <is>
          <t>Pendiente</t>
        </is>
      </c>
      <c r="D415" s="10" t="inlineStr">
        <is>
          <t>SHP-M01</t>
        </is>
      </c>
      <c r="E415" s="12" t="inlineStr">
        <is>
          <t>25 · Tienda de Productos</t>
        </is>
      </c>
      <c r="F415" s="10" t="inlineStr">
        <is>
          <t>Mantenimiento</t>
        </is>
      </c>
      <c r="G415" s="12" t="inlineStr">
        <is>
          <t>Categorías de producto</t>
        </is>
      </c>
      <c r="H415" s="18" t="inlineStr">
        <is>
          <t>Visión</t>
        </is>
      </c>
      <c r="I415" s="10" t="inlineStr">
        <is>
          <t>V3</t>
        </is>
      </c>
      <c r="J415" s="10" t="n">
        <v>33</v>
      </c>
      <c r="K415" s="12" t="inlineStr">
        <is>
          <t>Crecimiento</t>
        </is>
      </c>
      <c r="L415" s="12" t="inlineStr">
        <is>
          <t>OB-39-001</t>
        </is>
      </c>
      <c r="M415" s="12" t="inlineStr"/>
      <c r="N415" s="12" t="inlineStr"/>
    </row>
    <row r="416">
      <c r="A416" s="10" t="n">
        <v>411</v>
      </c>
      <c r="B416" s="11">
        <f>IF(C416="Completo","☑",IF(C416="En progreso","◐","☐"))</f>
        <v/>
      </c>
      <c r="C416" s="10" t="inlineStr">
        <is>
          <t>Pendiente</t>
        </is>
      </c>
      <c r="D416" s="10" t="inlineStr">
        <is>
          <t>SHP-M02</t>
        </is>
      </c>
      <c r="E416" s="12" t="inlineStr">
        <is>
          <t>25 · Tienda de Productos</t>
        </is>
      </c>
      <c r="F416" s="10" t="inlineStr">
        <is>
          <t>Mantenimiento</t>
        </is>
      </c>
      <c r="G416" s="12" t="inlineStr">
        <is>
          <t>Políticas de devolución y entrega</t>
        </is>
      </c>
      <c r="H416" s="18" t="inlineStr">
        <is>
          <t>Visión</t>
        </is>
      </c>
      <c r="I416" s="10" t="inlineStr">
        <is>
          <t>V3</t>
        </is>
      </c>
      <c r="J416" s="10" t="n">
        <v>33</v>
      </c>
      <c r="K416" s="12" t="inlineStr">
        <is>
          <t>Crecimiento</t>
        </is>
      </c>
      <c r="L416" s="12" t="inlineStr">
        <is>
          <t>OB-39</t>
        </is>
      </c>
      <c r="M416" s="12" t="inlineStr"/>
      <c r="N416" s="12" t="inlineStr"/>
    </row>
    <row r="417">
      <c r="A417" s="10" t="n">
        <v>412</v>
      </c>
      <c r="B417" s="11">
        <f>IF(C417="Completo","☑",IF(C417="En progreso","◐","☐"))</f>
        <v/>
      </c>
      <c r="C417" s="10" t="inlineStr">
        <is>
          <t>Pendiente</t>
        </is>
      </c>
      <c r="D417" s="10" t="inlineStr">
        <is>
          <t>SHP-F01</t>
        </is>
      </c>
      <c r="E417" s="12" t="inlineStr">
        <is>
          <t>25 · Tienda de Productos</t>
        </is>
      </c>
      <c r="F417" s="10" t="inlineStr">
        <is>
          <t>Funcionalidad</t>
        </is>
      </c>
      <c r="G417" s="12" t="inlineStr">
        <is>
          <t>Catálogo de productos</t>
        </is>
      </c>
      <c r="H417" s="18" t="inlineStr">
        <is>
          <t>Visión</t>
        </is>
      </c>
      <c r="I417" s="10" t="inlineStr">
        <is>
          <t>V3</t>
        </is>
      </c>
      <c r="J417" s="10" t="n">
        <v>33</v>
      </c>
      <c r="K417" s="12" t="inlineStr">
        <is>
          <t>Crecimiento</t>
        </is>
      </c>
      <c r="L417" s="12" t="inlineStr">
        <is>
          <t>OB-39-001</t>
        </is>
      </c>
      <c r="M417" s="12" t="inlineStr"/>
      <c r="N417" s="12" t="inlineStr"/>
    </row>
    <row r="418">
      <c r="A418" s="10" t="n">
        <v>413</v>
      </c>
      <c r="B418" s="11">
        <f>IF(C418="Completo","☑",IF(C418="En progreso","◐","☐"))</f>
        <v/>
      </c>
      <c r="C418" s="10" t="inlineStr">
        <is>
          <t>Pendiente</t>
        </is>
      </c>
      <c r="D418" s="10" t="inlineStr">
        <is>
          <t>SHP-F02</t>
        </is>
      </c>
      <c r="E418" s="12" t="inlineStr">
        <is>
          <t>25 · Tienda de Productos</t>
        </is>
      </c>
      <c r="F418" s="10" t="inlineStr">
        <is>
          <t>Funcionalidad</t>
        </is>
      </c>
      <c r="G418" s="12" t="inlineStr">
        <is>
          <t>Carrito</t>
        </is>
      </c>
      <c r="H418" s="18" t="inlineStr">
        <is>
          <t>Visión</t>
        </is>
      </c>
      <c r="I418" s="10" t="inlineStr">
        <is>
          <t>V3</t>
        </is>
      </c>
      <c r="J418" s="10" t="n">
        <v>33</v>
      </c>
      <c r="K418" s="12" t="inlineStr">
        <is>
          <t>Crecimiento</t>
        </is>
      </c>
      <c r="L418" s="12" t="inlineStr">
        <is>
          <t>OB-39-002</t>
        </is>
      </c>
      <c r="M418" s="12" t="inlineStr"/>
      <c r="N418" s="12" t="inlineStr"/>
    </row>
    <row r="419">
      <c r="A419" s="10" t="n">
        <v>414</v>
      </c>
      <c r="B419" s="11">
        <f>IF(C419="Completo","☑",IF(C419="En progreso","◐","☐"))</f>
        <v/>
      </c>
      <c r="C419" s="10" t="inlineStr">
        <is>
          <t>Pendiente</t>
        </is>
      </c>
      <c r="D419" s="10" t="inlineStr">
        <is>
          <t>SHP-F03</t>
        </is>
      </c>
      <c r="E419" s="12" t="inlineStr">
        <is>
          <t>25 · Tienda de Productos</t>
        </is>
      </c>
      <c r="F419" s="10" t="inlineStr">
        <is>
          <t>Funcionalidad</t>
        </is>
      </c>
      <c r="G419" s="12" t="inlineStr">
        <is>
          <t>Favoritos de productos</t>
        </is>
      </c>
      <c r="H419" s="18" t="inlineStr">
        <is>
          <t>Visión</t>
        </is>
      </c>
      <c r="I419" s="10" t="inlineStr">
        <is>
          <t>V3</t>
        </is>
      </c>
      <c r="J419" s="10" t="n">
        <v>33</v>
      </c>
      <c r="K419" s="12" t="inlineStr">
        <is>
          <t>Crecimiento</t>
        </is>
      </c>
      <c r="L419" s="12" t="inlineStr">
        <is>
          <t>OB-39-003</t>
        </is>
      </c>
      <c r="M419" s="12" t="inlineStr"/>
      <c r="N419" s="12" t="inlineStr"/>
    </row>
    <row r="420">
      <c r="A420" s="10" t="n">
        <v>415</v>
      </c>
      <c r="B420" s="11">
        <f>IF(C420="Completo","☑",IF(C420="En progreso","◐","☐"))</f>
        <v/>
      </c>
      <c r="C420" s="10" t="inlineStr">
        <is>
          <t>Pendiente</t>
        </is>
      </c>
      <c r="D420" s="10" t="inlineStr">
        <is>
          <t>SHP-F04</t>
        </is>
      </c>
      <c r="E420" s="12" t="inlineStr">
        <is>
          <t>25 · Tienda de Productos</t>
        </is>
      </c>
      <c r="F420" s="10" t="inlineStr">
        <is>
          <t>Funcionalidad</t>
        </is>
      </c>
      <c r="G420" s="12" t="inlineStr">
        <is>
          <t>Inventario vendible</t>
        </is>
      </c>
      <c r="H420" s="18" t="inlineStr">
        <is>
          <t>Visión</t>
        </is>
      </c>
      <c r="I420" s="10" t="inlineStr">
        <is>
          <t>V3</t>
        </is>
      </c>
      <c r="J420" s="10" t="n">
        <v>33</v>
      </c>
      <c r="K420" s="12" t="inlineStr">
        <is>
          <t>Crecimiento</t>
        </is>
      </c>
      <c r="L420" s="12" t="inlineStr">
        <is>
          <t>OB-39-004</t>
        </is>
      </c>
      <c r="M420" s="12" t="inlineStr"/>
      <c r="N420" s="12" t="inlineStr"/>
    </row>
    <row r="421">
      <c r="A421" s="10" t="n">
        <v>416</v>
      </c>
      <c r="B421" s="11">
        <f>IF(C421="Completo","☑",IF(C421="En progreso","◐","☐"))</f>
        <v/>
      </c>
      <c r="C421" s="10" t="inlineStr">
        <is>
          <t>Pendiente</t>
        </is>
      </c>
      <c r="D421" s="10" t="inlineStr">
        <is>
          <t>SHP-F05</t>
        </is>
      </c>
      <c r="E421" s="12" t="inlineStr">
        <is>
          <t>25 · Tienda de Productos</t>
        </is>
      </c>
      <c r="F421" s="10" t="inlineStr">
        <is>
          <t>Funcionalidad</t>
        </is>
      </c>
      <c r="G421" s="12" t="inlineStr">
        <is>
          <t>Órdenes</t>
        </is>
      </c>
      <c r="H421" s="18" t="inlineStr">
        <is>
          <t>Visión</t>
        </is>
      </c>
      <c r="I421" s="10" t="inlineStr">
        <is>
          <t>V3</t>
        </is>
      </c>
      <c r="J421" s="10" t="n">
        <v>33</v>
      </c>
      <c r="K421" s="12" t="inlineStr">
        <is>
          <t>Crecimiento</t>
        </is>
      </c>
      <c r="L421" s="12" t="inlineStr">
        <is>
          <t>OB-39-005</t>
        </is>
      </c>
      <c r="M421" s="12" t="inlineStr"/>
      <c r="N421" s="12" t="inlineStr"/>
    </row>
    <row r="422">
      <c r="A422" s="6" t="n">
        <v>417</v>
      </c>
      <c r="B422" s="7">
        <f>IF(C422="Completo","☑",IF(C422="En progreso","◐","☐"))</f>
        <v/>
      </c>
      <c r="C422" s="6" t="inlineStr">
        <is>
          <t>Pendiente</t>
        </is>
      </c>
      <c r="D422" s="6" t="inlineStr">
        <is>
          <t>CNT-F11</t>
        </is>
      </c>
      <c r="E422" s="8" t="inlineStr">
        <is>
          <t>04 · Contenido</t>
        </is>
      </c>
      <c r="F422" s="6" t="inlineStr">
        <is>
          <t>Funcionalidad</t>
        </is>
      </c>
      <c r="G422" s="8" t="inlineStr">
        <is>
          <t>Etiquetar productos usados</t>
        </is>
      </c>
      <c r="H422" s="19" t="inlineStr">
        <is>
          <t>Visión</t>
        </is>
      </c>
      <c r="I422" s="6" t="inlineStr">
        <is>
          <t>V3</t>
        </is>
      </c>
      <c r="J422" s="6" t="n">
        <v>34</v>
      </c>
      <c r="K422" s="8" t="inlineStr">
        <is>
          <t>Red social</t>
        </is>
      </c>
      <c r="L422" s="8" t="inlineStr">
        <is>
          <t>OB-39-009</t>
        </is>
      </c>
      <c r="M422" s="8" t="inlineStr"/>
      <c r="N422" s="8" t="inlineStr"/>
    </row>
    <row r="423">
      <c r="A423" s="6" t="n">
        <v>418</v>
      </c>
      <c r="B423" s="7">
        <f>IF(C423="Completo","☑",IF(C423="En progreso","◐","☐"))</f>
        <v/>
      </c>
      <c r="C423" s="6" t="inlineStr">
        <is>
          <t>Pendiente</t>
        </is>
      </c>
      <c r="D423" s="6" t="inlineStr">
        <is>
          <t>SHP-F06</t>
        </is>
      </c>
      <c r="E423" s="8" t="inlineStr">
        <is>
          <t>25 · Tienda de Productos</t>
        </is>
      </c>
      <c r="F423" s="6" t="inlineStr">
        <is>
          <t>Funcionalidad</t>
        </is>
      </c>
      <c r="G423" s="8" t="inlineStr">
        <is>
          <t>Pago de productos</t>
        </is>
      </c>
      <c r="H423" s="19" t="inlineStr">
        <is>
          <t>Visión</t>
        </is>
      </c>
      <c r="I423" s="6" t="inlineStr">
        <is>
          <t>V3</t>
        </is>
      </c>
      <c r="J423" s="6" t="n">
        <v>34</v>
      </c>
      <c r="K423" s="8" t="inlineStr">
        <is>
          <t>Crecimiento</t>
        </is>
      </c>
      <c r="L423" s="8" t="inlineStr">
        <is>
          <t>OB-39-006</t>
        </is>
      </c>
      <c r="M423" s="8" t="inlineStr"/>
      <c r="N423" s="8" t="inlineStr"/>
    </row>
    <row r="424">
      <c r="A424" s="6" t="n">
        <v>419</v>
      </c>
      <c r="B424" s="7">
        <f>IF(C424="Completo","☑",IF(C424="En progreso","◐","☐"))</f>
        <v/>
      </c>
      <c r="C424" s="6" t="inlineStr">
        <is>
          <t>Pendiente</t>
        </is>
      </c>
      <c r="D424" s="6" t="inlineStr">
        <is>
          <t>SHP-F07</t>
        </is>
      </c>
      <c r="E424" s="8" t="inlineStr">
        <is>
          <t>25 · Tienda de Productos</t>
        </is>
      </c>
      <c r="F424" s="6" t="inlineStr">
        <is>
          <t>Funcionalidad</t>
        </is>
      </c>
      <c r="G424" s="8" t="inlineStr">
        <is>
          <t>Entrega/recogida</t>
        </is>
      </c>
      <c r="H424" s="19" t="inlineStr">
        <is>
          <t>Visión</t>
        </is>
      </c>
      <c r="I424" s="6" t="inlineStr">
        <is>
          <t>V3</t>
        </is>
      </c>
      <c r="J424" s="6" t="n">
        <v>34</v>
      </c>
      <c r="K424" s="8" t="inlineStr">
        <is>
          <t>Crecimiento</t>
        </is>
      </c>
      <c r="L424" s="8" t="inlineStr">
        <is>
          <t>OB-39-007</t>
        </is>
      </c>
      <c r="M424" s="8" t="inlineStr"/>
      <c r="N424" s="8" t="inlineStr"/>
    </row>
    <row r="425">
      <c r="A425" s="6" t="n">
        <v>420</v>
      </c>
      <c r="B425" s="7">
        <f>IF(C425="Completo","☑",IF(C425="En progreso","◐","☐"))</f>
        <v/>
      </c>
      <c r="C425" s="6" t="inlineStr">
        <is>
          <t>Pendiente</t>
        </is>
      </c>
      <c r="D425" s="6" t="inlineStr">
        <is>
          <t>SHP-F08</t>
        </is>
      </c>
      <c r="E425" s="8" t="inlineStr">
        <is>
          <t>25 · Tienda de Productos</t>
        </is>
      </c>
      <c r="F425" s="6" t="inlineStr">
        <is>
          <t>Funcionalidad</t>
        </is>
      </c>
      <c r="G425" s="8" t="inlineStr">
        <is>
          <t>Reseñas de productos</t>
        </is>
      </c>
      <c r="H425" s="19" t="inlineStr">
        <is>
          <t>Visión</t>
        </is>
      </c>
      <c r="I425" s="6" t="inlineStr">
        <is>
          <t>V3</t>
        </is>
      </c>
      <c r="J425" s="6" t="n">
        <v>34</v>
      </c>
      <c r="K425" s="8" t="inlineStr">
        <is>
          <t>Crecimiento</t>
        </is>
      </c>
      <c r="L425" s="8" t="inlineStr">
        <is>
          <t>OB-39-008</t>
        </is>
      </c>
      <c r="M425" s="8" t="inlineStr"/>
      <c r="N425" s="8" t="inlineStr"/>
    </row>
  </sheetData>
  <autoFilter ref="A5:N425"/>
  <conditionalFormatting sqref="A6:N425">
    <cfRule type="expression" priority="1" dxfId="0">
      <formula>$C6="Completo"</formula>
    </cfRule>
    <cfRule type="expression" priority="2" dxfId="1">
      <formula>$C6="En progreso"</formula>
    </cfRule>
  </conditionalFormatting>
  <dataValidations count="1">
    <dataValidation sqref="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showDropDown="0" showInputMessage="0" showErrorMessage="1" allowBlank="0" errorTitle="Estado" error="Elige Pendiente, En progreso o Completo." type="list">
      <formula1>"Pendiente,En progreso,Completo"</formula1>
    </dataValidation>
  </dataValidations>
  <pageMargins left="0.75" right="0.75" top="1" bottom="1" header="0.5" footer="0.5"/>
  <pageSetup orientation="landscape" fitToWidth="1"/>
  <drawing xmlns:r="http://schemas.openxmlformats.org/officeDocument/2006/relationships" r:id="rId1"/>
</worksheet>
</file>

<file path=xl/worksheets/sheet2.xml><?xml version="1.0" encoding="utf-8"?>
<worksheet xmlns="http://schemas.openxmlformats.org/spreadsheetml/2006/main">
  <sheetPr>
    <tabColor rgb="00BFBFBF"/>
    <outlinePr summaryBelow="1" summaryRight="1"/>
    <pageSetUpPr/>
  </sheetPr>
  <dimension ref="A1:K49"/>
  <sheetViews>
    <sheetView workbookViewId="0">
      <pane ySplit="5" topLeftCell="A6" activePane="bottomLeft" state="frozen"/>
      <selection pane="bottomLeft" activeCell="A1" sqref="A1"/>
    </sheetView>
  </sheetViews>
  <sheetFormatPr baseColWidth="8" defaultRowHeight="15"/>
  <cols>
    <col width="13" customWidth="1" min="1" max="1"/>
    <col width="16" customWidth="1" min="2" max="2"/>
    <col width="40" customWidth="1" min="3" max="3"/>
    <col width="20" customWidth="1" min="4" max="4"/>
    <col width="15" customWidth="1" min="5" max="5"/>
    <col width="15" customWidth="1" min="6" max="6"/>
    <col width="10" customWidth="1" min="7" max="7"/>
    <col width="12" customWidth="1" min="8" max="8"/>
    <col width="13" customWidth="1" min="9" max="9"/>
    <col width="12" customWidth="1" min="10" max="10"/>
    <col width="14" customWidth="1" min="11" max="11"/>
  </cols>
  <sheetData>
    <row r="1" ht="24" customHeight="1">
      <c r="A1" s="1" t="n"/>
      <c r="B1" s="1" t="n"/>
      <c r="C1" s="1" t="n"/>
      <c r="D1" s="1" t="n"/>
      <c r="E1" s="1" t="n"/>
      <c r="F1" s="1" t="n"/>
      <c r="G1" s="1" t="n"/>
      <c r="H1" s="1" t="n"/>
      <c r="I1" s="1" t="n"/>
      <c r="J1" s="1" t="n"/>
      <c r="K1" s="1" t="n"/>
    </row>
    <row r="2" ht="24" customHeight="1">
      <c r="A2" s="1" t="n"/>
      <c r="B2" s="1" t="n"/>
      <c r="C2" s="2" t="inlineStr">
        <is>
          <t>Resumen de Avance</t>
        </is>
      </c>
      <c r="D2" s="1" t="n"/>
      <c r="E2" s="1" t="n"/>
      <c r="F2" s="1" t="n"/>
      <c r="G2" s="1" t="n"/>
      <c r="H2" s="1" t="n"/>
      <c r="I2" s="1" t="n"/>
      <c r="J2" s="1" t="n"/>
      <c r="K2" s="1" t="n"/>
    </row>
    <row r="3" ht="24" customHeight="1">
      <c r="A3" s="1" t="n"/>
      <c r="B3" s="1" t="n"/>
      <c r="C3" s="3" t="inlineStr">
        <is>
          <t>Se recalcula automáticamente con la hoja Plan de Desarrollo</t>
        </is>
      </c>
      <c r="D3" s="1" t="n"/>
      <c r="E3" s="1" t="n"/>
      <c r="F3" s="1" t="n"/>
      <c r="G3" s="1" t="n"/>
      <c r="H3" s="1" t="n"/>
      <c r="I3" s="1" t="n"/>
      <c r="J3" s="1" t="n"/>
      <c r="K3" s="1" t="n"/>
    </row>
    <row r="4" ht="24" customHeight="1">
      <c r="A4" s="1" t="n"/>
      <c r="B4" s="1" t="n"/>
      <c r="C4" s="1" t="n"/>
      <c r="D4" s="1" t="n"/>
      <c r="E4" s="1" t="n"/>
      <c r="F4" s="1" t="n"/>
      <c r="G4" s="1" t="n"/>
      <c r="H4" s="1" t="n"/>
      <c r="I4" s="1" t="n"/>
      <c r="J4" s="1" t="n"/>
      <c r="K4" s="1" t="n"/>
    </row>
    <row r="6">
      <c r="A6" s="20" t="inlineStr">
        <is>
          <t>Indicadores globales</t>
        </is>
      </c>
    </row>
    <row r="7">
      <c r="A7" s="21" t="inlineStr">
        <is>
          <t>Total</t>
        </is>
      </c>
      <c r="B7" s="21" t="inlineStr">
        <is>
          <t>Completos</t>
        </is>
      </c>
      <c r="C7" s="21" t="inlineStr">
        <is>
          <t>En progreso</t>
        </is>
      </c>
      <c r="D7" s="21" t="inlineStr">
        <is>
          <t>Pendientes</t>
        </is>
      </c>
      <c r="E7" s="21" t="inlineStr">
        <is>
          <t>% Avance</t>
        </is>
      </c>
    </row>
    <row r="8" ht="30" customHeight="1">
      <c r="A8" s="22">
        <f>COUNTA('Plan de Desarrollo'!$C$6:$C$425)</f>
        <v/>
      </c>
      <c r="B8" s="22">
        <f>COUNTIF('Plan de Desarrollo'!$C$6:$C$425,"Completo")</f>
        <v/>
      </c>
      <c r="C8" s="22">
        <f>COUNTIF('Plan de Desarrollo'!$C$6:$C$425,"En progreso")</f>
        <v/>
      </c>
      <c r="D8" s="22">
        <f>COUNTIF('Plan de Desarrollo'!$C$6:$C$425,"Pendiente")</f>
        <v/>
      </c>
      <c r="E8" s="23">
        <f>IFERROR(B8/A8,0)</f>
        <v/>
      </c>
    </row>
    <row r="10">
      <c r="A10" s="20" t="inlineStr">
        <is>
          <t>Avance por fase</t>
        </is>
      </c>
    </row>
    <row r="11">
      <c r="A11" s="21" t="inlineStr">
        <is>
          <t>Fase</t>
        </is>
      </c>
      <c r="B11" s="21" t="inlineStr">
        <is>
          <t>Nivel</t>
        </is>
      </c>
      <c r="C11" s="21" t="inlineStr">
        <is>
          <t>Objetivo</t>
        </is>
      </c>
      <c r="D11" s="21" t="inlineStr">
        <is>
          <t>Sprints</t>
        </is>
      </c>
      <c r="E11" s="21" t="inlineStr">
        <is>
          <t>Total</t>
        </is>
      </c>
      <c r="F11" s="21" t="inlineStr">
        <is>
          <t>Completos</t>
        </is>
      </c>
      <c r="G11" s="21" t="inlineStr">
        <is>
          <t>%</t>
        </is>
      </c>
    </row>
    <row r="12" ht="30" customHeight="1">
      <c r="A12" s="6" t="inlineStr">
        <is>
          <t>Fundación</t>
        </is>
      </c>
      <c r="B12" s="6" t="inlineStr">
        <is>
          <t>Imprescindible</t>
        </is>
      </c>
      <c r="C12" s="8" t="inlineStr">
        <is>
          <t>Base técnica segura y desplegable.</t>
        </is>
      </c>
      <c r="D12" s="6" t="inlineStr">
        <is>
          <t>S0–S1</t>
        </is>
      </c>
      <c r="E12" s="6">
        <f>COUNTIF('Plan de Desarrollo'!$I$6:$I$425,"Fundación")</f>
        <v/>
      </c>
      <c r="F12" s="6">
        <f>COUNTIFS('Plan de Desarrollo'!$I$6:$I$425,"Fundación",'Plan de Desarrollo'!$C$6:$C$425,"Completo")</f>
        <v/>
      </c>
      <c r="G12" s="24">
        <f>IFERROR(F12/E12,0)</f>
        <v/>
      </c>
    </row>
    <row r="13" ht="30" customHeight="1">
      <c r="A13" s="6" t="inlineStr">
        <is>
          <t>MVP</t>
        </is>
      </c>
      <c r="B13" s="6" t="inlineStr">
        <is>
          <t>Imprescindible</t>
        </is>
      </c>
      <c r="C13" s="8" t="inlineStr">
        <is>
          <t>Red social + Reservar este look + pago con comisión. Lanzamiento al mercado.</t>
        </is>
      </c>
      <c r="D13" s="6" t="inlineStr">
        <is>
          <t>S2–S13</t>
        </is>
      </c>
      <c r="E13" s="6">
        <f>COUNTIF('Plan de Desarrollo'!$I$6:$I$425,"MVP")</f>
        <v/>
      </c>
      <c r="F13" s="6">
        <f>COUNTIFS('Plan de Desarrollo'!$I$6:$I$425,"MVP",'Plan de Desarrollo'!$C$6:$C$425,"Completo")</f>
        <v/>
      </c>
      <c r="G13" s="24">
        <f>IFERROR(F13/E13,0)</f>
        <v/>
      </c>
    </row>
    <row r="14" ht="30" customHeight="1">
      <c r="A14" s="6" t="inlineStr">
        <is>
          <t>V1</t>
        </is>
      </c>
      <c r="B14" s="6" t="inlineStr">
        <is>
          <t>Esencial</t>
        </is>
      </c>
      <c r="C14" s="8" t="inlineStr">
        <is>
          <t>Retención, confianza, video, wallet, promociones, apps móviles.</t>
        </is>
      </c>
      <c r="D14" s="6" t="inlineStr">
        <is>
          <t>S14–S20</t>
        </is>
      </c>
      <c r="E14" s="6">
        <f>COUNTIF('Plan de Desarrollo'!$I$6:$I$425,"V1")</f>
        <v/>
      </c>
      <c r="F14" s="6">
        <f>COUNTIFS('Plan de Desarrollo'!$I$6:$I$425,"V1",'Plan de Desarrollo'!$C$6:$C$425,"Completo")</f>
        <v/>
      </c>
      <c r="G14" s="24">
        <f>IFERROR(F14/E14,0)</f>
        <v/>
      </c>
    </row>
    <row r="15" ht="30" customHeight="1">
      <c r="A15" s="6" t="inlineStr">
        <is>
          <t>V2</t>
        </is>
      </c>
      <c r="B15" s="6" t="inlineStr">
        <is>
          <t>Expansión</t>
        </is>
      </c>
      <c r="C15" s="8" t="inlineStr">
        <is>
          <t>Owney Business OS: negocios, POS, inventario, fidelización.</t>
        </is>
      </c>
      <c r="D15" s="6" t="inlineStr">
        <is>
          <t>S21–S28</t>
        </is>
      </c>
      <c r="E15" s="6">
        <f>COUNTIF('Plan de Desarrollo'!$I$6:$I$425,"V2")</f>
        <v/>
      </c>
      <c r="F15" s="6">
        <f>COUNTIFS('Plan de Desarrollo'!$I$6:$I$425,"V2",'Plan de Desarrollo'!$C$6:$C$425,"Completo")</f>
        <v/>
      </c>
      <c r="G15" s="24">
        <f>IFERROR(F15/E15,0)</f>
        <v/>
      </c>
    </row>
    <row r="16" ht="30" customHeight="1">
      <c r="A16" s="6" t="inlineStr">
        <is>
          <t>V3</t>
        </is>
      </c>
      <c r="B16" s="6" t="inlineStr">
        <is>
          <t>Visión</t>
        </is>
      </c>
      <c r="C16" s="8" t="inlineStr">
        <is>
          <t>Eventos, Smart Pricing, IA y tienda de productos.</t>
        </is>
      </c>
      <c r="D16" s="6" t="inlineStr">
        <is>
          <t>S29–S34</t>
        </is>
      </c>
      <c r="E16" s="6">
        <f>COUNTIF('Plan de Desarrollo'!$I$6:$I$425,"V3")</f>
        <v/>
      </c>
      <c r="F16" s="6">
        <f>COUNTIFS('Plan de Desarrollo'!$I$6:$I$425,"V3",'Plan de Desarrollo'!$C$6:$C$425,"Completo")</f>
        <v/>
      </c>
      <c r="G16" s="24">
        <f>IFERROR(F16/E16,0)</f>
        <v/>
      </c>
    </row>
    <row r="18">
      <c r="A18" s="20" t="inlineStr">
        <is>
          <t>Avance por módulo</t>
        </is>
      </c>
    </row>
    <row r="19">
      <c r="A19" s="21" t="inlineStr">
        <is>
          <t>#</t>
        </is>
      </c>
      <c r="B19" s="21" t="inlineStr">
        <is>
          <t>Código</t>
        </is>
      </c>
      <c r="C19" s="21" t="inlineStr">
        <is>
          <t>Módulo</t>
        </is>
      </c>
      <c r="D19" s="21" t="inlineStr">
        <is>
          <t>Grupo</t>
        </is>
      </c>
      <c r="E19" s="21" t="inlineStr">
        <is>
          <t>Mantenimientos</t>
        </is>
      </c>
      <c r="F19" s="21" t="inlineStr">
        <is>
          <t>Funcionalidades</t>
        </is>
      </c>
      <c r="G19" s="21" t="inlineStr">
        <is>
          <t>Total</t>
        </is>
      </c>
      <c r="H19" s="21" t="inlineStr">
        <is>
          <t>Completos</t>
        </is>
      </c>
      <c r="I19" s="21" t="inlineStr">
        <is>
          <t>En progreso</t>
        </is>
      </c>
      <c r="J19" s="21" t="inlineStr">
        <is>
          <t>%</t>
        </is>
      </c>
      <c r="K19" s="21" t="inlineStr">
        <is>
          <t>Primer sprint</t>
        </is>
      </c>
    </row>
    <row r="20">
      <c r="A20" s="6" t="inlineStr">
        <is>
          <t>00</t>
        </is>
      </c>
      <c r="B20" s="6" t="inlineStr">
        <is>
          <t>PLT</t>
        </is>
      </c>
      <c r="C20" s="8" t="inlineStr">
        <is>
          <t>Plataforma y Shared Kernel</t>
        </is>
      </c>
      <c r="D20" s="8" t="inlineStr">
        <is>
          <t>Base</t>
        </is>
      </c>
      <c r="E20" s="6">
        <f>COUNTIFS('Plan de Desarrollo'!$E$6:$E$425,"00 · Plataforma y Shared Kernel",'Plan de Desarrollo'!$F$6:$F$425,"Mantenimiento")</f>
        <v/>
      </c>
      <c r="F20" s="6">
        <f>COUNTIFS('Plan de Desarrollo'!$E$6:$E$425,"00 · Plataforma y Shared Kernel",'Plan de Desarrollo'!$F$6:$F$425,"Funcionalidad")</f>
        <v/>
      </c>
      <c r="G20" s="6">
        <f>COUNTIF('Plan de Desarrollo'!$E$6:$E$425,"00 · Plataforma y Shared Kernel")</f>
        <v/>
      </c>
      <c r="H20" s="6">
        <f>COUNTIFS('Plan de Desarrollo'!$E$6:$E$425,"00 · Plataforma y Shared Kernel",'Plan de Desarrollo'!$C$6:$C$425,"Completo")</f>
        <v/>
      </c>
      <c r="I20" s="6">
        <f>COUNTIFS('Plan de Desarrollo'!$E$6:$E$425,"00 · Plataforma y Shared Kernel",'Plan de Desarrollo'!$C$6:$C$425,"En progreso")</f>
        <v/>
      </c>
      <c r="J20" s="24">
        <f>IFERROR(H20/G20,0)</f>
        <v/>
      </c>
      <c r="K20" s="6" t="inlineStr">
        <is>
          <t>S0</t>
        </is>
      </c>
    </row>
    <row r="21">
      <c r="A21" s="6" t="inlineStr">
        <is>
          <t>01</t>
        </is>
      </c>
      <c r="B21" s="6" t="inlineStr">
        <is>
          <t>ACC</t>
        </is>
      </c>
      <c r="C21" s="8" t="inlineStr">
        <is>
          <t>Identidad y Cuentas</t>
        </is>
      </c>
      <c r="D21" s="8" t="inlineStr">
        <is>
          <t>Red social</t>
        </is>
      </c>
      <c r="E21" s="6">
        <f>COUNTIFS('Plan de Desarrollo'!$E$6:$E$425,"01 · Identidad y Cuentas",'Plan de Desarrollo'!$F$6:$F$425,"Mantenimiento")</f>
        <v/>
      </c>
      <c r="F21" s="6">
        <f>COUNTIFS('Plan de Desarrollo'!$E$6:$E$425,"01 · Identidad y Cuentas",'Plan de Desarrollo'!$F$6:$F$425,"Funcionalidad")</f>
        <v/>
      </c>
      <c r="G21" s="6">
        <f>COUNTIF('Plan de Desarrollo'!$E$6:$E$425,"01 · Identidad y Cuentas")</f>
        <v/>
      </c>
      <c r="H21" s="6">
        <f>COUNTIFS('Plan de Desarrollo'!$E$6:$E$425,"01 · Identidad y Cuentas",'Plan de Desarrollo'!$C$6:$C$425,"Completo")</f>
        <v/>
      </c>
      <c r="I21" s="6">
        <f>COUNTIFS('Plan de Desarrollo'!$E$6:$E$425,"01 · Identidad y Cuentas",'Plan de Desarrollo'!$C$6:$C$425,"En progreso")</f>
        <v/>
      </c>
      <c r="J21" s="24">
        <f>IFERROR(H21/G21,0)</f>
        <v/>
      </c>
      <c r="K21" s="6" t="inlineStr">
        <is>
          <t>S2</t>
        </is>
      </c>
    </row>
    <row r="22">
      <c r="A22" s="6" t="inlineStr">
        <is>
          <t>02</t>
        </is>
      </c>
      <c r="B22" s="6" t="inlineStr">
        <is>
          <t>PRF</t>
        </is>
      </c>
      <c r="C22" s="8" t="inlineStr">
        <is>
          <t>Perfiles</t>
        </is>
      </c>
      <c r="D22" s="8" t="inlineStr">
        <is>
          <t>Red social</t>
        </is>
      </c>
      <c r="E22" s="6">
        <f>COUNTIFS('Plan de Desarrollo'!$E$6:$E$425,"02 · Perfiles",'Plan de Desarrollo'!$F$6:$F$425,"Mantenimiento")</f>
        <v/>
      </c>
      <c r="F22" s="6">
        <f>COUNTIFS('Plan de Desarrollo'!$E$6:$E$425,"02 · Perfiles",'Plan de Desarrollo'!$F$6:$F$425,"Funcionalidad")</f>
        <v/>
      </c>
      <c r="G22" s="6">
        <f>COUNTIF('Plan de Desarrollo'!$E$6:$E$425,"02 · Perfiles")</f>
        <v/>
      </c>
      <c r="H22" s="6">
        <f>COUNTIFS('Plan de Desarrollo'!$E$6:$E$425,"02 · Perfiles",'Plan de Desarrollo'!$C$6:$C$425,"Completo")</f>
        <v/>
      </c>
      <c r="I22" s="6">
        <f>COUNTIFS('Plan de Desarrollo'!$E$6:$E$425,"02 · Perfiles",'Plan de Desarrollo'!$C$6:$C$425,"En progreso")</f>
        <v/>
      </c>
      <c r="J22" s="24">
        <f>IFERROR(H22/G22,0)</f>
        <v/>
      </c>
      <c r="K22" s="6" t="inlineStr">
        <is>
          <t>S3</t>
        </is>
      </c>
    </row>
    <row r="23">
      <c r="A23" s="6" t="inlineStr">
        <is>
          <t>03</t>
        </is>
      </c>
      <c r="B23" s="6" t="inlineStr">
        <is>
          <t>GRF</t>
        </is>
      </c>
      <c r="C23" s="8" t="inlineStr">
        <is>
          <t>Grafo Social</t>
        </is>
      </c>
      <c r="D23" s="8" t="inlineStr">
        <is>
          <t>Red social</t>
        </is>
      </c>
      <c r="E23" s="6">
        <f>COUNTIFS('Plan de Desarrollo'!$E$6:$E$425,"03 · Grafo Social",'Plan de Desarrollo'!$F$6:$F$425,"Mantenimiento")</f>
        <v/>
      </c>
      <c r="F23" s="6">
        <f>COUNTIFS('Plan de Desarrollo'!$E$6:$E$425,"03 · Grafo Social",'Plan de Desarrollo'!$F$6:$F$425,"Funcionalidad")</f>
        <v/>
      </c>
      <c r="G23" s="6">
        <f>COUNTIF('Plan de Desarrollo'!$E$6:$E$425,"03 · Grafo Social")</f>
        <v/>
      </c>
      <c r="H23" s="6">
        <f>COUNTIFS('Plan de Desarrollo'!$E$6:$E$425,"03 · Grafo Social",'Plan de Desarrollo'!$C$6:$C$425,"Completo")</f>
        <v/>
      </c>
      <c r="I23" s="6">
        <f>COUNTIFS('Plan de Desarrollo'!$E$6:$E$425,"03 · Grafo Social",'Plan de Desarrollo'!$C$6:$C$425,"En progreso")</f>
        <v/>
      </c>
      <c r="J23" s="24">
        <f>IFERROR(H23/G23,0)</f>
        <v/>
      </c>
      <c r="K23" s="6" t="inlineStr">
        <is>
          <t>S3</t>
        </is>
      </c>
    </row>
    <row r="24">
      <c r="A24" s="6" t="inlineStr">
        <is>
          <t>04</t>
        </is>
      </c>
      <c r="B24" s="6" t="inlineStr">
        <is>
          <t>CNT</t>
        </is>
      </c>
      <c r="C24" s="8" t="inlineStr">
        <is>
          <t>Contenido</t>
        </is>
      </c>
      <c r="D24" s="8" t="inlineStr">
        <is>
          <t>Red social</t>
        </is>
      </c>
      <c r="E24" s="6">
        <f>COUNTIFS('Plan de Desarrollo'!$E$6:$E$425,"04 · Contenido",'Plan de Desarrollo'!$F$6:$F$425,"Mantenimiento")</f>
        <v/>
      </c>
      <c r="F24" s="6">
        <f>COUNTIFS('Plan de Desarrollo'!$E$6:$E$425,"04 · Contenido",'Plan de Desarrollo'!$F$6:$F$425,"Funcionalidad")</f>
        <v/>
      </c>
      <c r="G24" s="6">
        <f>COUNTIF('Plan de Desarrollo'!$E$6:$E$425,"04 · Contenido")</f>
        <v/>
      </c>
      <c r="H24" s="6">
        <f>COUNTIFS('Plan de Desarrollo'!$E$6:$E$425,"04 · Contenido",'Plan de Desarrollo'!$C$6:$C$425,"Completo")</f>
        <v/>
      </c>
      <c r="I24" s="6">
        <f>COUNTIFS('Plan de Desarrollo'!$E$6:$E$425,"04 · Contenido",'Plan de Desarrollo'!$C$6:$C$425,"En progreso")</f>
        <v/>
      </c>
      <c r="J24" s="24">
        <f>IFERROR(H24/G24,0)</f>
        <v/>
      </c>
      <c r="K24" s="6" t="inlineStr">
        <is>
          <t>S4</t>
        </is>
      </c>
    </row>
    <row r="25">
      <c r="A25" s="6" t="inlineStr">
        <is>
          <t>05</t>
        </is>
      </c>
      <c r="B25" s="6" t="inlineStr">
        <is>
          <t>FED</t>
        </is>
      </c>
      <c r="C25" s="8" t="inlineStr">
        <is>
          <t>Feed, Explorar y Búsqueda</t>
        </is>
      </c>
      <c r="D25" s="8" t="inlineStr">
        <is>
          <t>Red social</t>
        </is>
      </c>
      <c r="E25" s="6">
        <f>COUNTIFS('Plan de Desarrollo'!$E$6:$E$425,"05 · Feed, Explorar y Búsqueda",'Plan de Desarrollo'!$F$6:$F$425,"Mantenimiento")</f>
        <v/>
      </c>
      <c r="F25" s="6">
        <f>COUNTIFS('Plan de Desarrollo'!$E$6:$E$425,"05 · Feed, Explorar y Búsqueda",'Plan de Desarrollo'!$F$6:$F$425,"Funcionalidad")</f>
        <v/>
      </c>
      <c r="G25" s="6">
        <f>COUNTIF('Plan de Desarrollo'!$E$6:$E$425,"05 · Feed, Explorar y Búsqueda")</f>
        <v/>
      </c>
      <c r="H25" s="6">
        <f>COUNTIFS('Plan de Desarrollo'!$E$6:$E$425,"05 · Feed, Explorar y Búsqueda",'Plan de Desarrollo'!$C$6:$C$425,"Completo")</f>
        <v/>
      </c>
      <c r="I25" s="6">
        <f>COUNTIFS('Plan de Desarrollo'!$E$6:$E$425,"05 · Feed, Explorar y Búsqueda",'Plan de Desarrollo'!$C$6:$C$425,"En progreso")</f>
        <v/>
      </c>
      <c r="J25" s="24">
        <f>IFERROR(H25/G25,0)</f>
        <v/>
      </c>
      <c r="K25" s="6" t="inlineStr">
        <is>
          <t>S5</t>
        </is>
      </c>
    </row>
    <row r="26">
      <c r="A26" s="6" t="inlineStr">
        <is>
          <t>06</t>
        </is>
      </c>
      <c r="B26" s="6" t="inlineStr">
        <is>
          <t>MSG</t>
        </is>
      </c>
      <c r="C26" s="8" t="inlineStr">
        <is>
          <t>Mensajería</t>
        </is>
      </c>
      <c r="D26" s="8" t="inlineStr">
        <is>
          <t>Red social</t>
        </is>
      </c>
      <c r="E26" s="6">
        <f>COUNTIFS('Plan de Desarrollo'!$E$6:$E$425,"06 · Mensajería",'Plan de Desarrollo'!$F$6:$F$425,"Mantenimiento")</f>
        <v/>
      </c>
      <c r="F26" s="6">
        <f>COUNTIFS('Plan de Desarrollo'!$E$6:$E$425,"06 · Mensajería",'Plan de Desarrollo'!$F$6:$F$425,"Funcionalidad")</f>
        <v/>
      </c>
      <c r="G26" s="6">
        <f>COUNTIF('Plan de Desarrollo'!$E$6:$E$425,"06 · Mensajería")</f>
        <v/>
      </c>
      <c r="H26" s="6">
        <f>COUNTIFS('Plan de Desarrollo'!$E$6:$E$425,"06 · Mensajería",'Plan de Desarrollo'!$C$6:$C$425,"Completo")</f>
        <v/>
      </c>
      <c r="I26" s="6">
        <f>COUNTIFS('Plan de Desarrollo'!$E$6:$E$425,"06 · Mensajería",'Plan de Desarrollo'!$C$6:$C$425,"En progreso")</f>
        <v/>
      </c>
      <c r="J26" s="24">
        <f>IFERROR(H26/G26,0)</f>
        <v/>
      </c>
      <c r="K26" s="6" t="inlineStr">
        <is>
          <t>S12</t>
        </is>
      </c>
    </row>
    <row r="27">
      <c r="A27" s="6" t="inlineStr">
        <is>
          <t>07</t>
        </is>
      </c>
      <c r="B27" s="6" t="inlineStr">
        <is>
          <t>NTF</t>
        </is>
      </c>
      <c r="C27" s="8" t="inlineStr">
        <is>
          <t>Notificaciones</t>
        </is>
      </c>
      <c r="D27" s="8" t="inlineStr">
        <is>
          <t>Red social</t>
        </is>
      </c>
      <c r="E27" s="6">
        <f>COUNTIFS('Plan de Desarrollo'!$E$6:$E$425,"07 · Notificaciones",'Plan de Desarrollo'!$F$6:$F$425,"Mantenimiento")</f>
        <v/>
      </c>
      <c r="F27" s="6">
        <f>COUNTIFS('Plan de Desarrollo'!$E$6:$E$425,"07 · Notificaciones",'Plan de Desarrollo'!$F$6:$F$425,"Funcionalidad")</f>
        <v/>
      </c>
      <c r="G27" s="6">
        <f>COUNTIF('Plan de Desarrollo'!$E$6:$E$425,"07 · Notificaciones")</f>
        <v/>
      </c>
      <c r="H27" s="6">
        <f>COUNTIFS('Plan de Desarrollo'!$E$6:$E$425,"07 · Notificaciones",'Plan de Desarrollo'!$C$6:$C$425,"Completo")</f>
        <v/>
      </c>
      <c r="I27" s="6">
        <f>COUNTIFS('Plan de Desarrollo'!$E$6:$E$425,"07 · Notificaciones",'Plan de Desarrollo'!$C$6:$C$425,"En progreso")</f>
        <v/>
      </c>
      <c r="J27" s="24">
        <f>IFERROR(H27/G27,0)</f>
        <v/>
      </c>
      <c r="K27" s="6" t="inlineStr">
        <is>
          <t>S5</t>
        </is>
      </c>
    </row>
    <row r="28">
      <c r="A28" s="6" t="inlineStr">
        <is>
          <t>08</t>
        </is>
      </c>
      <c r="B28" s="6" t="inlineStr">
        <is>
          <t>MED</t>
        </is>
      </c>
      <c r="C28" s="8" t="inlineStr">
        <is>
          <t>Media</t>
        </is>
      </c>
      <c r="D28" s="8" t="inlineStr">
        <is>
          <t>Soporte de la red</t>
        </is>
      </c>
      <c r="E28" s="6">
        <f>COUNTIFS('Plan de Desarrollo'!$E$6:$E$425,"08 · Media",'Plan de Desarrollo'!$F$6:$F$425,"Mantenimiento")</f>
        <v/>
      </c>
      <c r="F28" s="6">
        <f>COUNTIFS('Plan de Desarrollo'!$E$6:$E$425,"08 · Media",'Plan de Desarrollo'!$F$6:$F$425,"Funcionalidad")</f>
        <v/>
      </c>
      <c r="G28" s="6">
        <f>COUNTIF('Plan de Desarrollo'!$E$6:$E$425,"08 · Media")</f>
        <v/>
      </c>
      <c r="H28" s="6">
        <f>COUNTIFS('Plan de Desarrollo'!$E$6:$E$425,"08 · Media",'Plan de Desarrollo'!$C$6:$C$425,"Completo")</f>
        <v/>
      </c>
      <c r="I28" s="6">
        <f>COUNTIFS('Plan de Desarrollo'!$E$6:$E$425,"08 · Media",'Plan de Desarrollo'!$C$6:$C$425,"En progreso")</f>
        <v/>
      </c>
      <c r="J28" s="24">
        <f>IFERROR(H28/G28,0)</f>
        <v/>
      </c>
      <c r="K28" s="6" t="inlineStr">
        <is>
          <t>S3</t>
        </is>
      </c>
    </row>
    <row r="29">
      <c r="A29" s="6" t="inlineStr">
        <is>
          <t>09</t>
        </is>
      </c>
      <c r="B29" s="6" t="inlineStr">
        <is>
          <t>TRS</t>
        </is>
      </c>
      <c r="C29" s="8" t="inlineStr">
        <is>
          <t>Confianza y Seguridad</t>
        </is>
      </c>
      <c r="D29" s="8" t="inlineStr">
        <is>
          <t>Soporte de la red</t>
        </is>
      </c>
      <c r="E29" s="6">
        <f>COUNTIFS('Plan de Desarrollo'!$E$6:$E$425,"09 · Confianza y Seguridad",'Plan de Desarrollo'!$F$6:$F$425,"Mantenimiento")</f>
        <v/>
      </c>
      <c r="F29" s="6">
        <f>COUNTIFS('Plan de Desarrollo'!$E$6:$E$425,"09 · Confianza y Seguridad",'Plan de Desarrollo'!$F$6:$F$425,"Funcionalidad")</f>
        <v/>
      </c>
      <c r="G29" s="6">
        <f>COUNTIF('Plan de Desarrollo'!$E$6:$E$425,"09 · Confianza y Seguridad")</f>
        <v/>
      </c>
      <c r="H29" s="6">
        <f>COUNTIFS('Plan de Desarrollo'!$E$6:$E$425,"09 · Confianza y Seguridad",'Plan de Desarrollo'!$C$6:$C$425,"Completo")</f>
        <v/>
      </c>
      <c r="I29" s="6">
        <f>COUNTIFS('Plan de Desarrollo'!$E$6:$E$425,"09 · Confianza y Seguridad",'Plan de Desarrollo'!$C$6:$C$425,"En progreso")</f>
        <v/>
      </c>
      <c r="J29" s="24">
        <f>IFERROR(H29/G29,0)</f>
        <v/>
      </c>
      <c r="K29" s="6" t="inlineStr">
        <is>
          <t>S5</t>
        </is>
      </c>
    </row>
    <row r="30">
      <c r="A30" s="6" t="inlineStr">
        <is>
          <t>10</t>
        </is>
      </c>
      <c r="B30" s="6" t="inlineStr">
        <is>
          <t>VER</t>
        </is>
      </c>
      <c r="C30" s="8" t="inlineStr">
        <is>
          <t>Profesionales y Verificación</t>
        </is>
      </c>
      <c r="D30" s="8" t="inlineStr">
        <is>
          <t>Marketplace</t>
        </is>
      </c>
      <c r="E30" s="6">
        <f>COUNTIFS('Plan de Desarrollo'!$E$6:$E$425,"10 · Profesionales y Verificación",'Plan de Desarrollo'!$F$6:$F$425,"Mantenimiento")</f>
        <v/>
      </c>
      <c r="F30" s="6">
        <f>COUNTIFS('Plan de Desarrollo'!$E$6:$E$425,"10 · Profesionales y Verificación",'Plan de Desarrollo'!$F$6:$F$425,"Funcionalidad")</f>
        <v/>
      </c>
      <c r="G30" s="6">
        <f>COUNTIF('Plan de Desarrollo'!$E$6:$E$425,"10 · Profesionales y Verificación")</f>
        <v/>
      </c>
      <c r="H30" s="6">
        <f>COUNTIFS('Plan de Desarrollo'!$E$6:$E$425,"10 · Profesionales y Verificación",'Plan de Desarrollo'!$C$6:$C$425,"Completo")</f>
        <v/>
      </c>
      <c r="I30" s="6">
        <f>COUNTIFS('Plan de Desarrollo'!$E$6:$E$425,"10 · Profesionales y Verificación",'Plan de Desarrollo'!$C$6:$C$425,"En progreso")</f>
        <v/>
      </c>
      <c r="J30" s="24">
        <f>IFERROR(H30/G30,0)</f>
        <v/>
      </c>
      <c r="K30" s="6" t="inlineStr">
        <is>
          <t>S6</t>
        </is>
      </c>
    </row>
    <row r="31">
      <c r="A31" s="6" t="inlineStr">
        <is>
          <t>11</t>
        </is>
      </c>
      <c r="B31" s="6" t="inlineStr">
        <is>
          <t>CAT</t>
        </is>
      </c>
      <c r="C31" s="8" t="inlineStr">
        <is>
          <t>Catálogo de Servicios</t>
        </is>
      </c>
      <c r="D31" s="8" t="inlineStr">
        <is>
          <t>Marketplace</t>
        </is>
      </c>
      <c r="E31" s="6">
        <f>COUNTIFS('Plan de Desarrollo'!$E$6:$E$425,"11 · Catálogo de Servicios",'Plan de Desarrollo'!$F$6:$F$425,"Mantenimiento")</f>
        <v/>
      </c>
      <c r="F31" s="6">
        <f>COUNTIFS('Plan de Desarrollo'!$E$6:$E$425,"11 · Catálogo de Servicios",'Plan de Desarrollo'!$F$6:$F$425,"Funcionalidad")</f>
        <v/>
      </c>
      <c r="G31" s="6">
        <f>COUNTIF('Plan de Desarrollo'!$E$6:$E$425,"11 · Catálogo de Servicios")</f>
        <v/>
      </c>
      <c r="H31" s="6">
        <f>COUNTIFS('Plan de Desarrollo'!$E$6:$E$425,"11 · Catálogo de Servicios",'Plan de Desarrollo'!$C$6:$C$425,"Completo")</f>
        <v/>
      </c>
      <c r="I31" s="6">
        <f>COUNTIFS('Plan de Desarrollo'!$E$6:$E$425,"11 · Catálogo de Servicios",'Plan de Desarrollo'!$C$6:$C$425,"En progreso")</f>
        <v/>
      </c>
      <c r="J31" s="24">
        <f>IFERROR(H31/G31,0)</f>
        <v/>
      </c>
      <c r="K31" s="6" t="inlineStr">
        <is>
          <t>S7</t>
        </is>
      </c>
    </row>
    <row r="32">
      <c r="A32" s="6" t="inlineStr">
        <is>
          <t>12</t>
        </is>
      </c>
      <c r="B32" s="6" t="inlineStr">
        <is>
          <t>SCH</t>
        </is>
      </c>
      <c r="C32" s="8" t="inlineStr">
        <is>
          <t>Agenda y Disponibilidad</t>
        </is>
      </c>
      <c r="D32" s="8" t="inlineStr">
        <is>
          <t>Marketplace</t>
        </is>
      </c>
      <c r="E32" s="6">
        <f>COUNTIFS('Plan de Desarrollo'!$E$6:$E$425,"12 · Agenda y Disponibilidad",'Plan de Desarrollo'!$F$6:$F$425,"Mantenimiento")</f>
        <v/>
      </c>
      <c r="F32" s="6">
        <f>COUNTIFS('Plan de Desarrollo'!$E$6:$E$425,"12 · Agenda y Disponibilidad",'Plan de Desarrollo'!$F$6:$F$425,"Funcionalidad")</f>
        <v/>
      </c>
      <c r="G32" s="6">
        <f>COUNTIF('Plan de Desarrollo'!$E$6:$E$425,"12 · Agenda y Disponibilidad")</f>
        <v/>
      </c>
      <c r="H32" s="6">
        <f>COUNTIFS('Plan de Desarrollo'!$E$6:$E$425,"12 · Agenda y Disponibilidad",'Plan de Desarrollo'!$C$6:$C$425,"Completo")</f>
        <v/>
      </c>
      <c r="I32" s="6">
        <f>COUNTIFS('Plan de Desarrollo'!$E$6:$E$425,"12 · Agenda y Disponibilidad",'Plan de Desarrollo'!$C$6:$C$425,"En progreso")</f>
        <v/>
      </c>
      <c r="J32" s="24">
        <f>IFERROR(H32/G32,0)</f>
        <v/>
      </c>
      <c r="K32" s="6" t="inlineStr">
        <is>
          <t>S7</t>
        </is>
      </c>
    </row>
    <row r="33">
      <c r="A33" s="6" t="inlineStr">
        <is>
          <t>13</t>
        </is>
      </c>
      <c r="B33" s="6" t="inlineStr">
        <is>
          <t>BKG</t>
        </is>
      </c>
      <c r="C33" s="8" t="inlineStr">
        <is>
          <t>Reservas</t>
        </is>
      </c>
      <c r="D33" s="8" t="inlineStr">
        <is>
          <t>Marketplace</t>
        </is>
      </c>
      <c r="E33" s="6">
        <f>COUNTIFS('Plan de Desarrollo'!$E$6:$E$425,"13 · Reservas",'Plan de Desarrollo'!$F$6:$F$425,"Mantenimiento")</f>
        <v/>
      </c>
      <c r="F33" s="6">
        <f>COUNTIFS('Plan de Desarrollo'!$E$6:$E$425,"13 · Reservas",'Plan de Desarrollo'!$F$6:$F$425,"Funcionalidad")</f>
        <v/>
      </c>
      <c r="G33" s="6">
        <f>COUNTIF('Plan de Desarrollo'!$E$6:$E$425,"13 · Reservas")</f>
        <v/>
      </c>
      <c r="H33" s="6">
        <f>COUNTIFS('Plan de Desarrollo'!$E$6:$E$425,"13 · Reservas",'Plan de Desarrollo'!$C$6:$C$425,"Completo")</f>
        <v/>
      </c>
      <c r="I33" s="6">
        <f>COUNTIFS('Plan de Desarrollo'!$E$6:$E$425,"13 · Reservas",'Plan de Desarrollo'!$C$6:$C$425,"En progreso")</f>
        <v/>
      </c>
      <c r="J33" s="24">
        <f>IFERROR(H33/G33,0)</f>
        <v/>
      </c>
      <c r="K33" s="6" t="inlineStr">
        <is>
          <t>S8</t>
        </is>
      </c>
    </row>
    <row r="34">
      <c r="A34" s="6" t="inlineStr">
        <is>
          <t>14</t>
        </is>
      </c>
      <c r="B34" s="6" t="inlineStr">
        <is>
          <t>HOM</t>
        </is>
      </c>
      <c r="C34" s="8" t="inlineStr">
        <is>
          <t>Servicio a Domicilio</t>
        </is>
      </c>
      <c r="D34" s="8" t="inlineStr">
        <is>
          <t>Marketplace</t>
        </is>
      </c>
      <c r="E34" s="6">
        <f>COUNTIFS('Plan de Desarrollo'!$E$6:$E$425,"14 · Servicio a Domicilio",'Plan de Desarrollo'!$F$6:$F$425,"Mantenimiento")</f>
        <v/>
      </c>
      <c r="F34" s="6">
        <f>COUNTIFS('Plan de Desarrollo'!$E$6:$E$425,"14 · Servicio a Domicilio",'Plan de Desarrollo'!$F$6:$F$425,"Funcionalidad")</f>
        <v/>
      </c>
      <c r="G34" s="6">
        <f>COUNTIF('Plan de Desarrollo'!$E$6:$E$425,"14 · Servicio a Domicilio")</f>
        <v/>
      </c>
      <c r="H34" s="6">
        <f>COUNTIFS('Plan de Desarrollo'!$E$6:$E$425,"14 · Servicio a Domicilio",'Plan de Desarrollo'!$C$6:$C$425,"Completo")</f>
        <v/>
      </c>
      <c r="I34" s="6">
        <f>COUNTIFS('Plan de Desarrollo'!$E$6:$E$425,"14 · Servicio a Domicilio",'Plan de Desarrollo'!$C$6:$C$425,"En progreso")</f>
        <v/>
      </c>
      <c r="J34" s="24">
        <f>IFERROR(H34/G34,0)</f>
        <v/>
      </c>
      <c r="K34" s="6" t="inlineStr">
        <is>
          <t>S9</t>
        </is>
      </c>
    </row>
    <row r="35">
      <c r="A35" s="6" t="inlineStr">
        <is>
          <t>15</t>
        </is>
      </c>
      <c r="B35" s="6" t="inlineStr">
        <is>
          <t>REP</t>
        </is>
      </c>
      <c r="C35" s="8" t="inlineStr">
        <is>
          <t>Reseñas y Reputación</t>
        </is>
      </c>
      <c r="D35" s="8" t="inlineStr">
        <is>
          <t>Marketplace</t>
        </is>
      </c>
      <c r="E35" s="6">
        <f>COUNTIFS('Plan de Desarrollo'!$E$6:$E$425,"15 · Reseñas y Reputación",'Plan de Desarrollo'!$F$6:$F$425,"Mantenimiento")</f>
        <v/>
      </c>
      <c r="F35" s="6">
        <f>COUNTIFS('Plan de Desarrollo'!$E$6:$E$425,"15 · Reseñas y Reputación",'Plan de Desarrollo'!$F$6:$F$425,"Funcionalidad")</f>
        <v/>
      </c>
      <c r="G35" s="6">
        <f>COUNTIF('Plan de Desarrollo'!$E$6:$E$425,"15 · Reseñas y Reputación")</f>
        <v/>
      </c>
      <c r="H35" s="6">
        <f>COUNTIFS('Plan de Desarrollo'!$E$6:$E$425,"15 · Reseñas y Reputación",'Plan de Desarrollo'!$C$6:$C$425,"Completo")</f>
        <v/>
      </c>
      <c r="I35" s="6">
        <f>COUNTIFS('Plan de Desarrollo'!$E$6:$E$425,"15 · Reseñas y Reputación",'Plan de Desarrollo'!$C$6:$C$425,"En progreso")</f>
        <v/>
      </c>
      <c r="J35" s="24">
        <f>IFERROR(H35/G35,0)</f>
        <v/>
      </c>
      <c r="K35" s="6" t="inlineStr">
        <is>
          <t>S11</t>
        </is>
      </c>
    </row>
    <row r="36">
      <c r="A36" s="6" t="inlineStr">
        <is>
          <t>16</t>
        </is>
      </c>
      <c r="B36" s="6" t="inlineStr">
        <is>
          <t>MKT</t>
        </is>
      </c>
      <c r="C36" s="8" t="inlineStr">
        <is>
          <t>Promociones y Precios</t>
        </is>
      </c>
      <c r="D36" s="8" t="inlineStr">
        <is>
          <t>Marketplace</t>
        </is>
      </c>
      <c r="E36" s="6">
        <f>COUNTIFS('Plan de Desarrollo'!$E$6:$E$425,"16 · Promociones y Precios",'Plan de Desarrollo'!$F$6:$F$425,"Mantenimiento")</f>
        <v/>
      </c>
      <c r="F36" s="6">
        <f>COUNTIFS('Plan de Desarrollo'!$E$6:$E$425,"16 · Promociones y Precios",'Plan de Desarrollo'!$F$6:$F$425,"Funcionalidad")</f>
        <v/>
      </c>
      <c r="G36" s="6">
        <f>COUNTIF('Plan de Desarrollo'!$E$6:$E$425,"16 · Promociones y Precios")</f>
        <v/>
      </c>
      <c r="H36" s="6">
        <f>COUNTIFS('Plan de Desarrollo'!$E$6:$E$425,"16 · Promociones y Precios",'Plan de Desarrollo'!$C$6:$C$425,"Completo")</f>
        <v/>
      </c>
      <c r="I36" s="6">
        <f>COUNTIFS('Plan de Desarrollo'!$E$6:$E$425,"16 · Promociones y Precios",'Plan de Desarrollo'!$C$6:$C$425,"En progreso")</f>
        <v/>
      </c>
      <c r="J36" s="24">
        <f>IFERROR(H36/G36,0)</f>
        <v/>
      </c>
      <c r="K36" s="6" t="inlineStr">
        <is>
          <t>S18</t>
        </is>
      </c>
    </row>
    <row r="37">
      <c r="A37" s="6" t="inlineStr">
        <is>
          <t>17</t>
        </is>
      </c>
      <c r="B37" s="6" t="inlineStr">
        <is>
          <t>PAY</t>
        </is>
      </c>
      <c r="C37" s="8" t="inlineStr">
        <is>
          <t>Pagos y Finanzas</t>
        </is>
      </c>
      <c r="D37" s="8" t="inlineStr">
        <is>
          <t>Dinero</t>
        </is>
      </c>
      <c r="E37" s="6">
        <f>COUNTIFS('Plan de Desarrollo'!$E$6:$E$425,"17 · Pagos y Finanzas",'Plan de Desarrollo'!$F$6:$F$425,"Mantenimiento")</f>
        <v/>
      </c>
      <c r="F37" s="6">
        <f>COUNTIFS('Plan de Desarrollo'!$E$6:$E$425,"17 · Pagos y Finanzas",'Plan de Desarrollo'!$F$6:$F$425,"Funcionalidad")</f>
        <v/>
      </c>
      <c r="G37" s="6">
        <f>COUNTIF('Plan de Desarrollo'!$E$6:$E$425,"17 · Pagos y Finanzas")</f>
        <v/>
      </c>
      <c r="H37" s="6">
        <f>COUNTIFS('Plan de Desarrollo'!$E$6:$E$425,"17 · Pagos y Finanzas",'Plan de Desarrollo'!$C$6:$C$425,"Completo")</f>
        <v/>
      </c>
      <c r="I37" s="6">
        <f>COUNTIFS('Plan de Desarrollo'!$E$6:$E$425,"17 · Pagos y Finanzas",'Plan de Desarrollo'!$C$6:$C$425,"En progreso")</f>
        <v/>
      </c>
      <c r="J37" s="24">
        <f>IFERROR(H37/G37,0)</f>
        <v/>
      </c>
      <c r="K37" s="6" t="inlineStr">
        <is>
          <t>S10</t>
        </is>
      </c>
    </row>
    <row r="38">
      <c r="A38" s="6" t="inlineStr">
        <is>
          <t>18</t>
        </is>
      </c>
      <c r="B38" s="6" t="inlineStr">
        <is>
          <t>MON</t>
        </is>
      </c>
      <c r="C38" s="8" t="inlineStr">
        <is>
          <t>Monetización y Publicidad</t>
        </is>
      </c>
      <c r="D38" s="8" t="inlineStr">
        <is>
          <t>Dinero</t>
        </is>
      </c>
      <c r="E38" s="6">
        <f>COUNTIFS('Plan de Desarrollo'!$E$6:$E$425,"18 · Monetización y Publicidad",'Plan de Desarrollo'!$F$6:$F$425,"Mantenimiento")</f>
        <v/>
      </c>
      <c r="F38" s="6">
        <f>COUNTIFS('Plan de Desarrollo'!$E$6:$E$425,"18 · Monetización y Publicidad",'Plan de Desarrollo'!$F$6:$F$425,"Funcionalidad")</f>
        <v/>
      </c>
      <c r="G38" s="6">
        <f>COUNTIF('Plan de Desarrollo'!$E$6:$E$425,"18 · Monetización y Publicidad")</f>
        <v/>
      </c>
      <c r="H38" s="6">
        <f>COUNTIFS('Plan de Desarrollo'!$E$6:$E$425,"18 · Monetización y Publicidad",'Plan de Desarrollo'!$C$6:$C$425,"Completo")</f>
        <v/>
      </c>
      <c r="I38" s="6">
        <f>COUNTIFS('Plan de Desarrollo'!$E$6:$E$425,"18 · Monetización y Publicidad",'Plan de Desarrollo'!$C$6:$C$425,"En progreso")</f>
        <v/>
      </c>
      <c r="J38" s="24">
        <f>IFERROR(H38/G38,0)</f>
        <v/>
      </c>
      <c r="K38" s="6" t="inlineStr">
        <is>
          <t>S10</t>
        </is>
      </c>
    </row>
    <row r="39">
      <c r="A39" s="6" t="inlineStr">
        <is>
          <t>19</t>
        </is>
      </c>
      <c r="B39" s="6" t="inlineStr">
        <is>
          <t>LOY</t>
        </is>
      </c>
      <c r="C39" s="8" t="inlineStr">
        <is>
          <t>Wallet y Fidelización</t>
        </is>
      </c>
      <c r="D39" s="8" t="inlineStr">
        <is>
          <t>Dinero</t>
        </is>
      </c>
      <c r="E39" s="6">
        <f>COUNTIFS('Plan de Desarrollo'!$E$6:$E$425,"19 · Wallet y Fidelización",'Plan de Desarrollo'!$F$6:$F$425,"Mantenimiento")</f>
        <v/>
      </c>
      <c r="F39" s="6">
        <f>COUNTIFS('Plan de Desarrollo'!$E$6:$E$425,"19 · Wallet y Fidelización",'Plan de Desarrollo'!$F$6:$F$425,"Funcionalidad")</f>
        <v/>
      </c>
      <c r="G39" s="6">
        <f>COUNTIF('Plan de Desarrollo'!$E$6:$E$425,"19 · Wallet y Fidelización")</f>
        <v/>
      </c>
      <c r="H39" s="6">
        <f>COUNTIFS('Plan de Desarrollo'!$E$6:$E$425,"19 · Wallet y Fidelización",'Plan de Desarrollo'!$C$6:$C$425,"Completo")</f>
        <v/>
      </c>
      <c r="I39" s="6">
        <f>COUNTIFS('Plan de Desarrollo'!$E$6:$E$425,"19 · Wallet y Fidelización",'Plan de Desarrollo'!$C$6:$C$425,"En progreso")</f>
        <v/>
      </c>
      <c r="J39" s="24">
        <f>IFERROR(H39/G39,0)</f>
        <v/>
      </c>
      <c r="K39" s="6" t="inlineStr">
        <is>
          <t>S18</t>
        </is>
      </c>
    </row>
    <row r="40">
      <c r="A40" s="6" t="inlineStr">
        <is>
          <t>20</t>
        </is>
      </c>
      <c r="B40" s="6" t="inlineStr">
        <is>
          <t>BIZ</t>
        </is>
      </c>
      <c r="C40" s="8" t="inlineStr">
        <is>
          <t>Negocios y Equipo</t>
        </is>
      </c>
      <c r="D40" s="8" t="inlineStr">
        <is>
          <t>Negocios</t>
        </is>
      </c>
      <c r="E40" s="6">
        <f>COUNTIFS('Plan de Desarrollo'!$E$6:$E$425,"20 · Negocios y Equipo",'Plan de Desarrollo'!$F$6:$F$425,"Mantenimiento")</f>
        <v/>
      </c>
      <c r="F40" s="6">
        <f>COUNTIFS('Plan de Desarrollo'!$E$6:$E$425,"20 · Negocios y Equipo",'Plan de Desarrollo'!$F$6:$F$425,"Funcionalidad")</f>
        <v/>
      </c>
      <c r="G40" s="6">
        <f>COUNTIF('Plan de Desarrollo'!$E$6:$E$425,"20 · Negocios y Equipo")</f>
        <v/>
      </c>
      <c r="H40" s="6">
        <f>COUNTIFS('Plan de Desarrollo'!$E$6:$E$425,"20 · Negocios y Equipo",'Plan de Desarrollo'!$C$6:$C$425,"Completo")</f>
        <v/>
      </c>
      <c r="I40" s="6">
        <f>COUNTIFS('Plan de Desarrollo'!$E$6:$E$425,"20 · Negocios y Equipo",'Plan de Desarrollo'!$C$6:$C$425,"En progreso")</f>
        <v/>
      </c>
      <c r="J40" s="24">
        <f>IFERROR(H40/G40,0)</f>
        <v/>
      </c>
      <c r="K40" s="6" t="inlineStr">
        <is>
          <t>S21</t>
        </is>
      </c>
    </row>
    <row r="41">
      <c r="A41" s="6" t="inlineStr">
        <is>
          <t>21</t>
        </is>
      </c>
      <c r="B41" s="6" t="inlineStr">
        <is>
          <t>BOP</t>
        </is>
      </c>
      <c r="C41" s="8" t="inlineStr">
        <is>
          <t>CRM, POS e Inventario</t>
        </is>
      </c>
      <c r="D41" s="8" t="inlineStr">
        <is>
          <t>Negocios</t>
        </is>
      </c>
      <c r="E41" s="6">
        <f>COUNTIFS('Plan de Desarrollo'!$E$6:$E$425,"21 · CRM, POS e Inventario",'Plan de Desarrollo'!$F$6:$F$425,"Mantenimiento")</f>
        <v/>
      </c>
      <c r="F41" s="6">
        <f>COUNTIFS('Plan de Desarrollo'!$E$6:$E$425,"21 · CRM, POS e Inventario",'Plan de Desarrollo'!$F$6:$F$425,"Funcionalidad")</f>
        <v/>
      </c>
      <c r="G41" s="6">
        <f>COUNTIF('Plan de Desarrollo'!$E$6:$E$425,"21 · CRM, POS e Inventario")</f>
        <v/>
      </c>
      <c r="H41" s="6">
        <f>COUNTIFS('Plan de Desarrollo'!$E$6:$E$425,"21 · CRM, POS e Inventario",'Plan de Desarrollo'!$C$6:$C$425,"Completo")</f>
        <v/>
      </c>
      <c r="I41" s="6">
        <f>COUNTIFS('Plan de Desarrollo'!$E$6:$E$425,"21 · CRM, POS e Inventario",'Plan de Desarrollo'!$C$6:$C$425,"En progreso")</f>
        <v/>
      </c>
      <c r="J41" s="24">
        <f>IFERROR(H41/G41,0)</f>
        <v/>
      </c>
      <c r="K41" s="6" t="inlineStr">
        <is>
          <t>S23</t>
        </is>
      </c>
    </row>
    <row r="42">
      <c r="A42" s="6" t="inlineStr">
        <is>
          <t>22</t>
        </is>
      </c>
      <c r="B42" s="6" t="inlineStr">
        <is>
          <t>ANA</t>
        </is>
      </c>
      <c r="C42" s="8" t="inlineStr">
        <is>
          <t>Analítica</t>
        </is>
      </c>
      <c r="D42" s="8" t="inlineStr">
        <is>
          <t>Crecimiento</t>
        </is>
      </c>
      <c r="E42" s="6">
        <f>COUNTIFS('Plan de Desarrollo'!$E$6:$E$425,"22 · Analítica",'Plan de Desarrollo'!$F$6:$F$425,"Mantenimiento")</f>
        <v/>
      </c>
      <c r="F42" s="6">
        <f>COUNTIFS('Plan de Desarrollo'!$E$6:$E$425,"22 · Analítica",'Plan de Desarrollo'!$F$6:$F$425,"Funcionalidad")</f>
        <v/>
      </c>
      <c r="G42" s="6">
        <f>COUNTIF('Plan de Desarrollo'!$E$6:$E$425,"22 · Analítica")</f>
        <v/>
      </c>
      <c r="H42" s="6">
        <f>COUNTIFS('Plan de Desarrollo'!$E$6:$E$425,"22 · Analítica",'Plan de Desarrollo'!$C$6:$C$425,"Completo")</f>
        <v/>
      </c>
      <c r="I42" s="6">
        <f>COUNTIFS('Plan de Desarrollo'!$E$6:$E$425,"22 · Analítica",'Plan de Desarrollo'!$C$6:$C$425,"En progreso")</f>
        <v/>
      </c>
      <c r="J42" s="24">
        <f>IFERROR(H42/G42,0)</f>
        <v/>
      </c>
      <c r="K42" s="6" t="inlineStr">
        <is>
          <t>S12</t>
        </is>
      </c>
    </row>
    <row r="43">
      <c r="A43" s="6" t="inlineStr">
        <is>
          <t>23</t>
        </is>
      </c>
      <c r="B43" s="6" t="inlineStr">
        <is>
          <t>EVT</t>
        </is>
      </c>
      <c r="C43" s="8" t="inlineStr">
        <is>
          <t>Eventos y Squad</t>
        </is>
      </c>
      <c r="D43" s="8" t="inlineStr">
        <is>
          <t>Crecimiento</t>
        </is>
      </c>
      <c r="E43" s="6">
        <f>COUNTIFS('Plan de Desarrollo'!$E$6:$E$425,"23 · Eventos y Squad",'Plan de Desarrollo'!$F$6:$F$425,"Mantenimiento")</f>
        <v/>
      </c>
      <c r="F43" s="6">
        <f>COUNTIFS('Plan de Desarrollo'!$E$6:$E$425,"23 · Eventos y Squad",'Plan de Desarrollo'!$F$6:$F$425,"Funcionalidad")</f>
        <v/>
      </c>
      <c r="G43" s="6">
        <f>COUNTIF('Plan de Desarrollo'!$E$6:$E$425,"23 · Eventos y Squad")</f>
        <v/>
      </c>
      <c r="H43" s="6">
        <f>COUNTIFS('Plan de Desarrollo'!$E$6:$E$425,"23 · Eventos y Squad",'Plan de Desarrollo'!$C$6:$C$425,"Completo")</f>
        <v/>
      </c>
      <c r="I43" s="6">
        <f>COUNTIFS('Plan de Desarrollo'!$E$6:$E$425,"23 · Eventos y Squad",'Plan de Desarrollo'!$C$6:$C$425,"En progreso")</f>
        <v/>
      </c>
      <c r="J43" s="24">
        <f>IFERROR(H43/G43,0)</f>
        <v/>
      </c>
      <c r="K43" s="6" t="inlineStr">
        <is>
          <t>S29</t>
        </is>
      </c>
    </row>
    <row r="44">
      <c r="A44" s="6" t="inlineStr">
        <is>
          <t>24</t>
        </is>
      </c>
      <c r="B44" s="6" t="inlineStr">
        <is>
          <t>AI</t>
        </is>
      </c>
      <c r="C44" s="8" t="inlineStr">
        <is>
          <t>Inteligencia Artificial</t>
        </is>
      </c>
      <c r="D44" s="8" t="inlineStr">
        <is>
          <t>Crecimiento</t>
        </is>
      </c>
      <c r="E44" s="6">
        <f>COUNTIFS('Plan de Desarrollo'!$E$6:$E$425,"24 · Inteligencia Artificial",'Plan de Desarrollo'!$F$6:$F$425,"Mantenimiento")</f>
        <v/>
      </c>
      <c r="F44" s="6">
        <f>COUNTIFS('Plan de Desarrollo'!$E$6:$E$425,"24 · Inteligencia Artificial",'Plan de Desarrollo'!$F$6:$F$425,"Funcionalidad")</f>
        <v/>
      </c>
      <c r="G44" s="6">
        <f>COUNTIF('Plan de Desarrollo'!$E$6:$E$425,"24 · Inteligencia Artificial")</f>
        <v/>
      </c>
      <c r="H44" s="6">
        <f>COUNTIFS('Plan de Desarrollo'!$E$6:$E$425,"24 · Inteligencia Artificial",'Plan de Desarrollo'!$C$6:$C$425,"Completo")</f>
        <v/>
      </c>
      <c r="I44" s="6">
        <f>COUNTIFS('Plan de Desarrollo'!$E$6:$E$425,"24 · Inteligencia Artificial",'Plan de Desarrollo'!$C$6:$C$425,"En progreso")</f>
        <v/>
      </c>
      <c r="J44" s="24">
        <f>IFERROR(H44/G44,0)</f>
        <v/>
      </c>
      <c r="K44" s="6" t="inlineStr">
        <is>
          <t>S31</t>
        </is>
      </c>
    </row>
    <row r="45">
      <c r="A45" s="6" t="inlineStr">
        <is>
          <t>25</t>
        </is>
      </c>
      <c r="B45" s="6" t="inlineStr">
        <is>
          <t>SHP</t>
        </is>
      </c>
      <c r="C45" s="8" t="inlineStr">
        <is>
          <t>Tienda de Productos</t>
        </is>
      </c>
      <c r="D45" s="8" t="inlineStr">
        <is>
          <t>Crecimiento</t>
        </is>
      </c>
      <c r="E45" s="6">
        <f>COUNTIFS('Plan de Desarrollo'!$E$6:$E$425,"25 · Tienda de Productos",'Plan de Desarrollo'!$F$6:$F$425,"Mantenimiento")</f>
        <v/>
      </c>
      <c r="F45" s="6">
        <f>COUNTIFS('Plan de Desarrollo'!$E$6:$E$425,"25 · Tienda de Productos",'Plan de Desarrollo'!$F$6:$F$425,"Funcionalidad")</f>
        <v/>
      </c>
      <c r="G45" s="6">
        <f>COUNTIF('Plan de Desarrollo'!$E$6:$E$425,"25 · Tienda de Productos")</f>
        <v/>
      </c>
      <c r="H45" s="6">
        <f>COUNTIFS('Plan de Desarrollo'!$E$6:$E$425,"25 · Tienda de Productos",'Plan de Desarrollo'!$C$6:$C$425,"Completo")</f>
        <v/>
      </c>
      <c r="I45" s="6">
        <f>COUNTIFS('Plan de Desarrollo'!$E$6:$E$425,"25 · Tienda de Productos",'Plan de Desarrollo'!$C$6:$C$425,"En progreso")</f>
        <v/>
      </c>
      <c r="J45" s="24">
        <f>IFERROR(H45/G45,0)</f>
        <v/>
      </c>
      <c r="K45" s="6" t="inlineStr">
        <is>
          <t>S33</t>
        </is>
      </c>
    </row>
    <row r="46">
      <c r="A46" s="6" t="inlineStr">
        <is>
          <t>26</t>
        </is>
      </c>
      <c r="B46" s="6" t="inlineStr">
        <is>
          <t>ADM</t>
        </is>
      </c>
      <c r="C46" s="8" t="inlineStr">
        <is>
          <t>Administración y Auditoría</t>
        </is>
      </c>
      <c r="D46" s="8" t="inlineStr">
        <is>
          <t>Gobierno</t>
        </is>
      </c>
      <c r="E46" s="6">
        <f>COUNTIFS('Plan de Desarrollo'!$E$6:$E$425,"26 · Administración y Auditoría",'Plan de Desarrollo'!$F$6:$F$425,"Mantenimiento")</f>
        <v/>
      </c>
      <c r="F46" s="6">
        <f>COUNTIFS('Plan de Desarrollo'!$E$6:$E$425,"26 · Administración y Auditoría",'Plan de Desarrollo'!$F$6:$F$425,"Funcionalidad")</f>
        <v/>
      </c>
      <c r="G46" s="6">
        <f>COUNTIF('Plan de Desarrollo'!$E$6:$E$425,"26 · Administración y Auditoría")</f>
        <v/>
      </c>
      <c r="H46" s="6">
        <f>COUNTIFS('Plan de Desarrollo'!$E$6:$E$425,"26 · Administración y Auditoría",'Plan de Desarrollo'!$C$6:$C$425,"Completo")</f>
        <v/>
      </c>
      <c r="I46" s="6">
        <f>COUNTIFS('Plan de Desarrollo'!$E$6:$E$425,"26 · Administración y Auditoría",'Plan de Desarrollo'!$C$6:$C$425,"En progreso")</f>
        <v/>
      </c>
      <c r="J46" s="24">
        <f>IFERROR(H46/G46,0)</f>
        <v/>
      </c>
      <c r="K46" s="6" t="inlineStr">
        <is>
          <t>S1</t>
        </is>
      </c>
    </row>
    <row r="47">
      <c r="A47" s="6" t="inlineStr">
        <is>
          <t>DEV</t>
        </is>
      </c>
      <c r="B47" s="6" t="inlineStr">
        <is>
          <t>DEV</t>
        </is>
      </c>
      <c r="C47" s="8" t="inlineStr">
        <is>
          <t>Operación, Calidad y Entrega</t>
        </is>
      </c>
      <c r="D47" s="8" t="inlineStr">
        <is>
          <t>Áreas transversales</t>
        </is>
      </c>
      <c r="E47" s="6">
        <f>COUNTIFS('Plan de Desarrollo'!$E$6:$E$425,"DEV · Operación, Calidad y Entrega",'Plan de Desarrollo'!$F$6:$F$425,"Mantenimiento")</f>
        <v/>
      </c>
      <c r="F47" s="6">
        <f>COUNTIFS('Plan de Desarrollo'!$E$6:$E$425,"DEV · Operación, Calidad y Entrega",'Plan de Desarrollo'!$F$6:$F$425,"Funcionalidad")</f>
        <v/>
      </c>
      <c r="G47" s="6">
        <f>COUNTIF('Plan de Desarrollo'!$E$6:$E$425,"DEV · Operación, Calidad y Entrega")</f>
        <v/>
      </c>
      <c r="H47" s="6">
        <f>COUNTIFS('Plan de Desarrollo'!$E$6:$E$425,"DEV · Operación, Calidad y Entrega",'Plan de Desarrollo'!$C$6:$C$425,"Completo")</f>
        <v/>
      </c>
      <c r="I47" s="6">
        <f>COUNTIFS('Plan de Desarrollo'!$E$6:$E$425,"DEV · Operación, Calidad y Entrega",'Plan de Desarrollo'!$C$6:$C$425,"En progreso")</f>
        <v/>
      </c>
      <c r="J47" s="24">
        <f>IFERROR(H47/G47,0)</f>
        <v/>
      </c>
      <c r="K47" s="6" t="inlineStr">
        <is>
          <t>S0</t>
        </is>
      </c>
    </row>
    <row r="48">
      <c r="A48" s="6" t="inlineStr">
        <is>
          <t>LEG</t>
        </is>
      </c>
      <c r="B48" s="6" t="inlineStr">
        <is>
          <t>LEG</t>
        </is>
      </c>
      <c r="C48" s="8" t="inlineStr">
        <is>
          <t>Cumplimiento Legal y Fiscal</t>
        </is>
      </c>
      <c r="D48" s="8" t="inlineStr">
        <is>
          <t>Áreas transversales</t>
        </is>
      </c>
      <c r="E48" s="6">
        <f>COUNTIFS('Plan de Desarrollo'!$E$6:$E$425,"LEG · Cumplimiento Legal y Fiscal",'Plan de Desarrollo'!$F$6:$F$425,"Mantenimiento")</f>
        <v/>
      </c>
      <c r="F48" s="6">
        <f>COUNTIFS('Plan de Desarrollo'!$E$6:$E$425,"LEG · Cumplimiento Legal y Fiscal",'Plan de Desarrollo'!$F$6:$F$425,"Funcionalidad")</f>
        <v/>
      </c>
      <c r="G48" s="6">
        <f>COUNTIF('Plan de Desarrollo'!$E$6:$E$425,"LEG · Cumplimiento Legal y Fiscal")</f>
        <v/>
      </c>
      <c r="H48" s="6">
        <f>COUNTIFS('Plan de Desarrollo'!$E$6:$E$425,"LEG · Cumplimiento Legal y Fiscal",'Plan de Desarrollo'!$C$6:$C$425,"Completo")</f>
        <v/>
      </c>
      <c r="I48" s="6">
        <f>COUNTIFS('Plan de Desarrollo'!$E$6:$E$425,"LEG · Cumplimiento Legal y Fiscal",'Plan de Desarrollo'!$C$6:$C$425,"En progreso")</f>
        <v/>
      </c>
      <c r="J48" s="24">
        <f>IFERROR(H48/G48,0)</f>
        <v/>
      </c>
      <c r="K48" s="6" t="inlineStr">
        <is>
          <t>S2</t>
        </is>
      </c>
    </row>
    <row r="49">
      <c r="C49" s="25" t="inlineStr">
        <is>
          <t>TOTAL</t>
        </is>
      </c>
      <c r="E49" s="26">
        <f>SUM(E20:E48)</f>
        <v/>
      </c>
      <c r="F49" s="26">
        <f>SUM(F20:F48)</f>
        <v/>
      </c>
      <c r="G49" s="26">
        <f>SUM(G20:G48)</f>
        <v/>
      </c>
      <c r="H49" s="26">
        <f>SUM(H20:H48)</f>
        <v/>
      </c>
      <c r="I49" s="26">
        <f>SUM(I20:I48)</f>
        <v/>
      </c>
      <c r="J49" s="27">
        <f>IFERROR(H49/G49,0)</f>
        <v/>
      </c>
    </row>
  </sheetData>
  <conditionalFormatting sqref="G12:G16">
    <cfRule type="dataBar" priority="1">
      <dataBar>
        <cfvo type="num" val="0"/>
        <cfvo type="num" val="1"/>
        <color rgb="007F7F7F"/>
      </dataBar>
    </cfRule>
  </conditionalFormatting>
  <conditionalFormatting sqref="J20:J48">
    <cfRule type="dataBar" priority="2">
      <dataBar>
        <cfvo type="num" val="0"/>
        <cfvo type="num" val="1"/>
        <color rgb="007F7F7F"/>
      </dataBar>
    </cfRule>
  </conditionalFormatting>
  <pageMargins left="0.75" right="0.75" top="1" bottom="1" header="0.5" footer="0.5"/>
  <pageSetup orientation="landscape" fitToWidth="1"/>
  <drawing xmlns:r="http://schemas.openxmlformats.org/officeDocument/2006/relationships" r:id="rId1"/>
</worksheet>
</file>

<file path=xl/worksheets/sheet3.xml><?xml version="1.0" encoding="utf-8"?>
<worksheet xmlns="http://schemas.openxmlformats.org/spreadsheetml/2006/main">
  <sheetPr>
    <tabColor rgb="00BFBFBF"/>
    <outlinePr summaryBelow="1" summaryRight="1"/>
    <pageSetUpPr/>
  </sheetPr>
  <dimension ref="A1:H41"/>
  <sheetViews>
    <sheetView workbookViewId="0">
      <pane ySplit="6" topLeftCell="A7" activePane="bottomLeft" state="frozen"/>
      <selection pane="bottomLeft" activeCell="A1" sqref="A1"/>
    </sheetView>
  </sheetViews>
  <sheetFormatPr baseColWidth="8" defaultRowHeight="15"/>
  <cols>
    <col width="9" customWidth="1" min="1" max="1"/>
    <col width="12" customWidth="1" min="2" max="2"/>
    <col width="15" customWidth="1" min="3" max="3"/>
    <col width="70" customWidth="1" min="4" max="4"/>
    <col width="12" customWidth="1" min="5" max="5"/>
    <col width="12" customWidth="1" min="6" max="6"/>
    <col width="13" customWidth="1" min="7" max="7"/>
    <col width="12" customWidth="1" min="8" max="8"/>
  </cols>
  <sheetData>
    <row r="1" ht="24" customHeight="1">
      <c r="A1" s="1" t="n"/>
      <c r="B1" s="1" t="n"/>
      <c r="C1" s="1" t="n"/>
      <c r="D1" s="1" t="n"/>
      <c r="E1" s="1" t="n"/>
      <c r="F1" s="1" t="n"/>
      <c r="G1" s="1" t="n"/>
      <c r="H1" s="1" t="n"/>
    </row>
    <row r="2" ht="24" customHeight="1">
      <c r="A2" s="1" t="n"/>
      <c r="B2" s="1" t="n"/>
      <c r="C2" s="2" t="inlineStr">
        <is>
          <t>Plan de Sprints</t>
        </is>
      </c>
      <c r="D2" s="1" t="n"/>
      <c r="E2" s="1" t="n"/>
      <c r="F2" s="1" t="n"/>
      <c r="G2" s="1" t="n"/>
      <c r="H2" s="1" t="n"/>
    </row>
    <row r="3" ht="24" customHeight="1">
      <c r="A3" s="1" t="n"/>
      <c r="B3" s="1" t="n"/>
      <c r="C3" s="3" t="inlineStr">
        <is>
          <t>Sprints de 2 semanas · el avance se calcula desde la hoja Plan de Desarrollo</t>
        </is>
      </c>
      <c r="D3" s="1" t="n"/>
      <c r="E3" s="1" t="n"/>
      <c r="F3" s="1" t="n"/>
      <c r="G3" s="1" t="n"/>
      <c r="H3" s="1" t="n"/>
    </row>
    <row r="4" ht="24" customHeight="1">
      <c r="A4" s="1" t="n"/>
      <c r="B4" s="1" t="n"/>
      <c r="C4" s="1" t="n"/>
      <c r="D4" s="1" t="n"/>
      <c r="E4" s="1" t="n"/>
      <c r="F4" s="1" t="n"/>
      <c r="G4" s="1" t="n"/>
      <c r="H4" s="1" t="n"/>
    </row>
    <row r="6" ht="30" customHeight="1">
      <c r="A6" s="5" t="inlineStr">
        <is>
          <t>Sprint</t>
        </is>
      </c>
      <c r="B6" s="5" t="inlineStr">
        <is>
          <t>Fase</t>
        </is>
      </c>
      <c r="C6" s="5" t="inlineStr">
        <is>
          <t>Nivel</t>
        </is>
      </c>
      <c r="D6" s="5" t="inlineStr">
        <is>
          <t>Objetivo</t>
        </is>
      </c>
      <c r="E6" s="5" t="inlineStr">
        <is>
          <t>Elementos</t>
        </is>
      </c>
      <c r="F6" s="5" t="inlineStr">
        <is>
          <t>Completos</t>
        </is>
      </c>
      <c r="G6" s="5" t="inlineStr">
        <is>
          <t>En progreso</t>
        </is>
      </c>
      <c r="H6" s="5" t="inlineStr">
        <is>
          <t>%</t>
        </is>
      </c>
    </row>
    <row r="7">
      <c r="A7" s="6" t="inlineStr">
        <is>
          <t>S0</t>
        </is>
      </c>
      <c r="B7" s="6" t="inlineStr">
        <is>
          <t>Fundación</t>
        </is>
      </c>
      <c r="C7" s="6" t="inlineStr">
        <is>
          <t>Imprescindible</t>
        </is>
      </c>
      <c r="D7" s="8" t="inlineStr">
        <is>
          <t>Base segura y desplegable (secretos, limpieza, Railway, CI)</t>
        </is>
      </c>
      <c r="E7" s="6">
        <f>COUNTIF('Plan de Desarrollo'!$J$6:$J$425,0)</f>
        <v/>
      </c>
      <c r="F7" s="6">
        <f>COUNTIFS('Plan de Desarrollo'!$J$6:$J$425,0,'Plan de Desarrollo'!$C$6:$C$425,"Completo")</f>
        <v/>
      </c>
      <c r="G7" s="6">
        <f>COUNTIFS('Plan de Desarrollo'!$J$6:$J$425,0,'Plan de Desarrollo'!$C$6:$C$425,"En progreso")</f>
        <v/>
      </c>
      <c r="H7" s="24">
        <f>IFERROR(F7/E7,0)</f>
        <v/>
      </c>
    </row>
    <row r="8">
      <c r="A8" s="28" t="inlineStr">
        <is>
          <t>S1</t>
        </is>
      </c>
      <c r="B8" s="28" t="inlineStr">
        <is>
          <t>Fundación</t>
        </is>
      </c>
      <c r="C8" s="28" t="inlineStr">
        <is>
          <t>Imprescindible</t>
        </is>
      </c>
      <c r="D8" s="29" t="inlineStr">
        <is>
          <t>Plataforma modular (outbox, Redis, worker, observabilidad)   —   Fundación lista</t>
        </is>
      </c>
      <c r="E8" s="28">
        <f>COUNTIF('Plan de Desarrollo'!$J$6:$J$425,1)</f>
        <v/>
      </c>
      <c r="F8" s="28">
        <f>COUNTIFS('Plan de Desarrollo'!$J$6:$J$425,1,'Plan de Desarrollo'!$C$6:$C$425,"Completo")</f>
        <v/>
      </c>
      <c r="G8" s="28">
        <f>COUNTIFS('Plan de Desarrollo'!$J$6:$J$425,1,'Plan de Desarrollo'!$C$6:$C$425,"En progreso")</f>
        <v/>
      </c>
      <c r="H8" s="30">
        <f>IFERROR(F8/E8,0)</f>
        <v/>
      </c>
    </row>
    <row r="9">
      <c r="A9" s="6" t="inlineStr">
        <is>
          <t>S2</t>
        </is>
      </c>
      <c r="B9" s="6" t="inlineStr">
        <is>
          <t>MVP</t>
        </is>
      </c>
      <c r="C9" s="6" t="inlineStr">
        <is>
          <t>Imprescindible</t>
        </is>
      </c>
      <c r="D9" s="8" t="inlineStr">
        <is>
          <t>Identidad, cuentas y roles</t>
        </is>
      </c>
      <c r="E9" s="6">
        <f>COUNTIF('Plan de Desarrollo'!$J$6:$J$425,2)</f>
        <v/>
      </c>
      <c r="F9" s="6">
        <f>COUNTIFS('Plan de Desarrollo'!$J$6:$J$425,2,'Plan de Desarrollo'!$C$6:$C$425,"Completo")</f>
        <v/>
      </c>
      <c r="G9" s="6">
        <f>COUNTIFS('Plan de Desarrollo'!$J$6:$J$425,2,'Plan de Desarrollo'!$C$6:$C$425,"En progreso")</f>
        <v/>
      </c>
      <c r="H9" s="24">
        <f>IFERROR(F9/E9,0)</f>
        <v/>
      </c>
    </row>
    <row r="10">
      <c r="A10" s="6" t="inlineStr">
        <is>
          <t>S3</t>
        </is>
      </c>
      <c r="B10" s="6" t="inlineStr">
        <is>
          <t>MVP</t>
        </is>
      </c>
      <c r="C10" s="6" t="inlineStr">
        <is>
          <t>Imprescindible</t>
        </is>
      </c>
      <c r="D10" s="8" t="inlineStr">
        <is>
          <t>Perfiles, grafo social y media</t>
        </is>
      </c>
      <c r="E10" s="6">
        <f>COUNTIF('Plan de Desarrollo'!$J$6:$J$425,3)</f>
        <v/>
      </c>
      <c r="F10" s="6">
        <f>COUNTIFS('Plan de Desarrollo'!$J$6:$J$425,3,'Plan de Desarrollo'!$C$6:$C$425,"Completo")</f>
        <v/>
      </c>
      <c r="G10" s="6">
        <f>COUNTIFS('Plan de Desarrollo'!$J$6:$J$425,3,'Plan de Desarrollo'!$C$6:$C$425,"En progreso")</f>
        <v/>
      </c>
      <c r="H10" s="24">
        <f>IFERROR(F10/E10,0)</f>
        <v/>
      </c>
    </row>
    <row r="11">
      <c r="A11" s="6" t="inlineStr">
        <is>
          <t>S4</t>
        </is>
      </c>
      <c r="B11" s="6" t="inlineStr">
        <is>
          <t>MVP</t>
        </is>
      </c>
      <c r="C11" s="6" t="inlineStr">
        <is>
          <t>Imprescindible</t>
        </is>
      </c>
      <c r="D11" s="8" t="inlineStr">
        <is>
          <t>Contenido: publicaciones e interacciones</t>
        </is>
      </c>
      <c r="E11" s="6">
        <f>COUNTIF('Plan de Desarrollo'!$J$6:$J$425,4)</f>
        <v/>
      </c>
      <c r="F11" s="6">
        <f>COUNTIFS('Plan de Desarrollo'!$J$6:$J$425,4,'Plan de Desarrollo'!$C$6:$C$425,"Completo")</f>
        <v/>
      </c>
      <c r="G11" s="6">
        <f>COUNTIFS('Plan de Desarrollo'!$J$6:$J$425,4,'Plan de Desarrollo'!$C$6:$C$425,"En progreso")</f>
        <v/>
      </c>
      <c r="H11" s="24">
        <f>IFERROR(F11/E11,0)</f>
        <v/>
      </c>
    </row>
    <row r="12">
      <c r="A12" s="6" t="inlineStr">
        <is>
          <t>S5</t>
        </is>
      </c>
      <c r="B12" s="6" t="inlineStr">
        <is>
          <t>MVP</t>
        </is>
      </c>
      <c r="C12" s="6" t="inlineStr">
        <is>
          <t>Imprescindible</t>
        </is>
      </c>
      <c r="D12" s="8" t="inlineStr">
        <is>
          <t>Feed, Explorar, notificaciones sociales y moderación</t>
        </is>
      </c>
      <c r="E12" s="6">
        <f>COUNTIF('Plan de Desarrollo'!$J$6:$J$425,5)</f>
        <v/>
      </c>
      <c r="F12" s="6">
        <f>COUNTIFS('Plan de Desarrollo'!$J$6:$J$425,5,'Plan de Desarrollo'!$C$6:$C$425,"Completo")</f>
        <v/>
      </c>
      <c r="G12" s="6">
        <f>COUNTIFS('Plan de Desarrollo'!$J$6:$J$425,5,'Plan de Desarrollo'!$C$6:$C$425,"En progreso")</f>
        <v/>
      </c>
      <c r="H12" s="24">
        <f>IFERROR(F12/E12,0)</f>
        <v/>
      </c>
    </row>
    <row r="13">
      <c r="A13" s="6" t="inlineStr">
        <is>
          <t>S6</t>
        </is>
      </c>
      <c r="B13" s="6" t="inlineStr">
        <is>
          <t>MVP</t>
        </is>
      </c>
      <c r="C13" s="6" t="inlineStr">
        <is>
          <t>Imprescindible</t>
        </is>
      </c>
      <c r="D13" s="8" t="inlineStr">
        <is>
          <t>Profesionales y verificación (KYC)</t>
        </is>
      </c>
      <c r="E13" s="6">
        <f>COUNTIF('Plan de Desarrollo'!$J$6:$J$425,6)</f>
        <v/>
      </c>
      <c r="F13" s="6">
        <f>COUNTIFS('Plan de Desarrollo'!$J$6:$J$425,6,'Plan de Desarrollo'!$C$6:$C$425,"Completo")</f>
        <v/>
      </c>
      <c r="G13" s="6">
        <f>COUNTIFS('Plan de Desarrollo'!$J$6:$J$425,6,'Plan de Desarrollo'!$C$6:$C$425,"En progreso")</f>
        <v/>
      </c>
      <c r="H13" s="24">
        <f>IFERROR(F13/E13,0)</f>
        <v/>
      </c>
    </row>
    <row r="14">
      <c r="A14" s="6" t="inlineStr">
        <is>
          <t>S7</t>
        </is>
      </c>
      <c r="B14" s="6" t="inlineStr">
        <is>
          <t>MVP</t>
        </is>
      </c>
      <c r="C14" s="6" t="inlineStr">
        <is>
          <t>Imprescindible</t>
        </is>
      </c>
      <c r="D14" s="8" t="inlineStr">
        <is>
          <t>Catálogo de servicios y agenda</t>
        </is>
      </c>
      <c r="E14" s="6">
        <f>COUNTIF('Plan de Desarrollo'!$J$6:$J$425,7)</f>
        <v/>
      </c>
      <c r="F14" s="6">
        <f>COUNTIFS('Plan de Desarrollo'!$J$6:$J$425,7,'Plan de Desarrollo'!$C$6:$C$425,"Completo")</f>
        <v/>
      </c>
      <c r="G14" s="6">
        <f>COUNTIFS('Plan de Desarrollo'!$J$6:$J$425,7,'Plan de Desarrollo'!$C$6:$C$425,"En progreso")</f>
        <v/>
      </c>
      <c r="H14" s="24">
        <f>IFERROR(F14/E14,0)</f>
        <v/>
      </c>
    </row>
    <row r="15">
      <c r="A15" s="6" t="inlineStr">
        <is>
          <t>S8</t>
        </is>
      </c>
      <c r="B15" s="6" t="inlineStr">
        <is>
          <t>MVP</t>
        </is>
      </c>
      <c r="C15" s="6" t="inlineStr">
        <is>
          <t>Imprescindible</t>
        </is>
      </c>
      <c r="D15" s="8" t="inlineStr">
        <is>
          <t>Motor de disponibilidad y “Reservar este look”</t>
        </is>
      </c>
      <c r="E15" s="6">
        <f>COUNTIF('Plan de Desarrollo'!$J$6:$J$425,8)</f>
        <v/>
      </c>
      <c r="F15" s="6">
        <f>COUNTIFS('Plan de Desarrollo'!$J$6:$J$425,8,'Plan de Desarrollo'!$C$6:$C$425,"Completo")</f>
        <v/>
      </c>
      <c r="G15" s="6">
        <f>COUNTIFS('Plan de Desarrollo'!$J$6:$J$425,8,'Plan de Desarrollo'!$C$6:$C$425,"En progreso")</f>
        <v/>
      </c>
      <c r="H15" s="24">
        <f>IFERROR(F15/E15,0)</f>
        <v/>
      </c>
    </row>
    <row r="16">
      <c r="A16" s="6" t="inlineStr">
        <is>
          <t>S9</t>
        </is>
      </c>
      <c r="B16" s="6" t="inlineStr">
        <is>
          <t>MVP</t>
        </is>
      </c>
      <c r="C16" s="6" t="inlineStr">
        <is>
          <t>Imprescindible</t>
        </is>
      </c>
      <c r="D16" s="8" t="inlineStr">
        <is>
          <t>Domicilio y gestión de reservas</t>
        </is>
      </c>
      <c r="E16" s="6">
        <f>COUNTIF('Plan de Desarrollo'!$J$6:$J$425,9)</f>
        <v/>
      </c>
      <c r="F16" s="6">
        <f>COUNTIFS('Plan de Desarrollo'!$J$6:$J$425,9,'Plan de Desarrollo'!$C$6:$C$425,"Completo")</f>
        <v/>
      </c>
      <c r="G16" s="6">
        <f>COUNTIFS('Plan de Desarrollo'!$J$6:$J$425,9,'Plan de Desarrollo'!$C$6:$C$425,"En progreso")</f>
        <v/>
      </c>
      <c r="H16" s="24">
        <f>IFERROR(F16/E16,0)</f>
        <v/>
      </c>
    </row>
    <row r="17">
      <c r="A17" s="6" t="inlineStr">
        <is>
          <t>S10</t>
        </is>
      </c>
      <c r="B17" s="6" t="inlineStr">
        <is>
          <t>MVP</t>
        </is>
      </c>
      <c r="C17" s="6" t="inlineStr">
        <is>
          <t>Imprescindible</t>
        </is>
      </c>
      <c r="D17" s="8" t="inlineStr">
        <is>
          <t>Pagos reales y modelo de ingresos</t>
        </is>
      </c>
      <c r="E17" s="6">
        <f>COUNTIF('Plan de Desarrollo'!$J$6:$J$425,10)</f>
        <v/>
      </c>
      <c r="F17" s="6">
        <f>COUNTIFS('Plan de Desarrollo'!$J$6:$J$425,10,'Plan de Desarrollo'!$C$6:$C$425,"Completo")</f>
        <v/>
      </c>
      <c r="G17" s="6">
        <f>COUNTIFS('Plan de Desarrollo'!$J$6:$J$425,10,'Plan de Desarrollo'!$C$6:$C$425,"En progreso")</f>
        <v/>
      </c>
      <c r="H17" s="24">
        <f>IFERROR(F17/E17,0)</f>
        <v/>
      </c>
    </row>
    <row r="18">
      <c r="A18" s="6" t="inlineStr">
        <is>
          <t>S11</t>
        </is>
      </c>
      <c r="B18" s="6" t="inlineStr">
        <is>
          <t>MVP</t>
        </is>
      </c>
      <c r="C18" s="6" t="inlineStr">
        <is>
          <t>Imprescindible</t>
        </is>
      </c>
      <c r="D18" s="8" t="inlineStr">
        <is>
          <t>Ciclo del servicio, facturación, reseñas y avisos de reserva</t>
        </is>
      </c>
      <c r="E18" s="6">
        <f>COUNTIF('Plan de Desarrollo'!$J$6:$J$425,11)</f>
        <v/>
      </c>
      <c r="F18" s="6">
        <f>COUNTIFS('Plan de Desarrollo'!$J$6:$J$425,11,'Plan de Desarrollo'!$C$6:$C$425,"Completo")</f>
        <v/>
      </c>
      <c r="G18" s="6">
        <f>COUNTIFS('Plan de Desarrollo'!$J$6:$J$425,11,'Plan de Desarrollo'!$C$6:$C$425,"En progreso")</f>
        <v/>
      </c>
      <c r="H18" s="24">
        <f>IFERROR(F18/E18,0)</f>
        <v/>
      </c>
    </row>
    <row r="19">
      <c r="A19" s="6" t="inlineStr">
        <is>
          <t>S12</t>
        </is>
      </c>
      <c r="B19" s="6" t="inlineStr">
        <is>
          <t>MVP</t>
        </is>
      </c>
      <c r="C19" s="6" t="inlineStr">
        <is>
          <t>Imprescindible</t>
        </is>
      </c>
      <c r="D19" s="8" t="inlineStr">
        <is>
          <t>Mensajería en tiempo real, Discover de profesionales y métricas base</t>
        </is>
      </c>
      <c r="E19" s="6">
        <f>COUNTIF('Plan de Desarrollo'!$J$6:$J$425,12)</f>
        <v/>
      </c>
      <c r="F19" s="6">
        <f>COUNTIFS('Plan de Desarrollo'!$J$6:$J$425,12,'Plan de Desarrollo'!$C$6:$C$425,"Completo")</f>
        <v/>
      </c>
      <c r="G19" s="6">
        <f>COUNTIFS('Plan de Desarrollo'!$J$6:$J$425,12,'Plan de Desarrollo'!$C$6:$C$425,"En progreso")</f>
        <v/>
      </c>
      <c r="H19" s="24">
        <f>IFERROR(F19/E19,0)</f>
        <v/>
      </c>
    </row>
    <row r="20">
      <c r="A20" s="28" t="inlineStr">
        <is>
          <t>S13</t>
        </is>
      </c>
      <c r="B20" s="28" t="inlineStr">
        <is>
          <t>MVP</t>
        </is>
      </c>
      <c r="C20" s="28" t="inlineStr">
        <is>
          <t>Imprescindible</t>
        </is>
      </c>
      <c r="D20" s="29" t="inlineStr">
        <is>
          <t>Administración, cumplimiento y lanzamiento (go-live)   —   🚩 LANZAMIENTO (MVP)</t>
        </is>
      </c>
      <c r="E20" s="28">
        <f>COUNTIF('Plan de Desarrollo'!$J$6:$J$425,13)</f>
        <v/>
      </c>
      <c r="F20" s="28">
        <f>COUNTIFS('Plan de Desarrollo'!$J$6:$J$425,13,'Plan de Desarrollo'!$C$6:$C$425,"Completo")</f>
        <v/>
      </c>
      <c r="G20" s="28">
        <f>COUNTIFS('Plan de Desarrollo'!$J$6:$J$425,13,'Plan de Desarrollo'!$C$6:$C$425,"En progreso")</f>
        <v/>
      </c>
      <c r="H20" s="30">
        <f>IFERROR(F20/E20,0)</f>
        <v/>
      </c>
    </row>
    <row r="21">
      <c r="A21" s="6" t="inlineStr">
        <is>
          <t>S14</t>
        </is>
      </c>
      <c r="B21" s="6" t="inlineStr">
        <is>
          <t>V1</t>
        </is>
      </c>
      <c r="C21" s="6" t="inlineStr">
        <is>
          <t>Esencial</t>
        </is>
      </c>
      <c r="D21" s="8" t="inlineStr">
        <is>
          <t>Reels, stories, video, seguridad de cuenta y soporte</t>
        </is>
      </c>
      <c r="E21" s="6">
        <f>COUNTIF('Plan de Desarrollo'!$J$6:$J$425,14)</f>
        <v/>
      </c>
      <c r="F21" s="6">
        <f>COUNTIFS('Plan de Desarrollo'!$J$6:$J$425,14,'Plan de Desarrollo'!$C$6:$C$425,"Completo")</f>
        <v/>
      </c>
      <c r="G21" s="6">
        <f>COUNTIFS('Plan de Desarrollo'!$J$6:$J$425,14,'Plan de Desarrollo'!$C$6:$C$425,"En progreso")</f>
        <v/>
      </c>
      <c r="H21" s="24">
        <f>IFERROR(F21/E21,0)</f>
        <v/>
      </c>
    </row>
    <row r="22">
      <c r="A22" s="6" t="inlineStr">
        <is>
          <t>S15</t>
        </is>
      </c>
      <c r="B22" s="6" t="inlineStr">
        <is>
          <t>V1</t>
        </is>
      </c>
      <c r="C22" s="6" t="inlineStr">
        <is>
          <t>Esencial</t>
        </is>
      </c>
      <c r="D22" s="8" t="inlineStr">
        <is>
          <t>Feed personalizado, tendencias y push</t>
        </is>
      </c>
      <c r="E22" s="6">
        <f>COUNTIF('Plan de Desarrollo'!$J$6:$J$425,15)</f>
        <v/>
      </c>
      <c r="F22" s="6">
        <f>COUNTIFS('Plan de Desarrollo'!$J$6:$J$425,15,'Plan de Desarrollo'!$C$6:$C$425,"Completo")</f>
        <v/>
      </c>
      <c r="G22" s="6">
        <f>COUNTIFS('Plan de Desarrollo'!$J$6:$J$425,15,'Plan de Desarrollo'!$C$6:$C$425,"En progreso")</f>
        <v/>
      </c>
      <c r="H22" s="24">
        <f>IFERROR(F22/E22,0)</f>
        <v/>
      </c>
    </row>
    <row r="23">
      <c r="A23" s="6" t="inlineStr">
        <is>
          <t>S16</t>
        </is>
      </c>
      <c r="B23" s="6" t="inlineStr">
        <is>
          <t>V1</t>
        </is>
      </c>
      <c r="C23" s="6" t="inlineStr">
        <is>
          <t>Esencial</t>
        </is>
      </c>
      <c r="D23" s="8" t="inlineStr">
        <is>
          <t>Lista de espera, catálogo avanzado y tracking</t>
        </is>
      </c>
      <c r="E23" s="6">
        <f>COUNTIF('Plan de Desarrollo'!$J$6:$J$425,16)</f>
        <v/>
      </c>
      <c r="F23" s="6">
        <f>COUNTIFS('Plan de Desarrollo'!$J$6:$J$425,16,'Plan de Desarrollo'!$C$6:$C$425,"Completo")</f>
        <v/>
      </c>
      <c r="G23" s="6">
        <f>COUNTIFS('Plan de Desarrollo'!$J$6:$J$425,16,'Plan de Desarrollo'!$C$6:$C$425,"En progreso")</f>
        <v/>
      </c>
      <c r="H23" s="24">
        <f>IFERROR(F23/E23,0)</f>
        <v/>
      </c>
    </row>
    <row r="24">
      <c r="A24" s="6" t="inlineStr">
        <is>
          <t>S17</t>
        </is>
      </c>
      <c r="B24" s="6" t="inlineStr">
        <is>
          <t>V1</t>
        </is>
      </c>
      <c r="C24" s="6" t="inlineStr">
        <is>
          <t>Esencial</t>
        </is>
      </c>
      <c r="D24" s="8" t="inlineStr">
        <is>
          <t>Owney Protect y pagos avanzados</t>
        </is>
      </c>
      <c r="E24" s="6">
        <f>COUNTIF('Plan de Desarrollo'!$J$6:$J$425,17)</f>
        <v/>
      </c>
      <c r="F24" s="6">
        <f>COUNTIFS('Plan de Desarrollo'!$J$6:$J$425,17,'Plan de Desarrollo'!$C$6:$C$425,"Completo")</f>
        <v/>
      </c>
      <c r="G24" s="6">
        <f>COUNTIFS('Plan de Desarrollo'!$J$6:$J$425,17,'Plan de Desarrollo'!$C$6:$C$425,"En progreso")</f>
        <v/>
      </c>
      <c r="H24" s="24">
        <f>IFERROR(F24/E24,0)</f>
        <v/>
      </c>
    </row>
    <row r="25">
      <c r="A25" s="6" t="inlineStr">
        <is>
          <t>S18</t>
        </is>
      </c>
      <c r="B25" s="6" t="inlineStr">
        <is>
          <t>V1</t>
        </is>
      </c>
      <c r="C25" s="6" t="inlineStr">
        <is>
          <t>Esencial</t>
        </is>
      </c>
      <c r="D25" s="8" t="inlineStr">
        <is>
          <t>Payouts, promociones, wallet y suscripciones</t>
        </is>
      </c>
      <c r="E25" s="6">
        <f>COUNTIF('Plan de Desarrollo'!$J$6:$J$425,18)</f>
        <v/>
      </c>
      <c r="F25" s="6">
        <f>COUNTIFS('Plan de Desarrollo'!$J$6:$J$425,18,'Plan de Desarrollo'!$C$6:$C$425,"Completo")</f>
        <v/>
      </c>
      <c r="G25" s="6">
        <f>COUNTIFS('Plan de Desarrollo'!$J$6:$J$425,18,'Plan de Desarrollo'!$C$6:$C$425,"En progreso")</f>
        <v/>
      </c>
      <c r="H25" s="24">
        <f>IFERROR(F25/E25,0)</f>
        <v/>
      </c>
    </row>
    <row r="26">
      <c r="A26" s="6" t="inlineStr">
        <is>
          <t>S19</t>
        </is>
      </c>
      <c r="B26" s="6" t="inlineStr">
        <is>
          <t>V1</t>
        </is>
      </c>
      <c r="C26" s="6" t="inlineStr">
        <is>
          <t>Esencial</t>
        </is>
      </c>
      <c r="D26" s="8" t="inlineStr">
        <is>
          <t>Privacidad, Beauty Passport, insignias y reputación avanzada</t>
        </is>
      </c>
      <c r="E26" s="6">
        <f>COUNTIF('Plan de Desarrollo'!$J$6:$J$425,19)</f>
        <v/>
      </c>
      <c r="F26" s="6">
        <f>COUNTIFS('Plan de Desarrollo'!$J$6:$J$425,19,'Plan de Desarrollo'!$C$6:$C$425,"Completo")</f>
        <v/>
      </c>
      <c r="G26" s="6">
        <f>COUNTIFS('Plan de Desarrollo'!$J$6:$J$425,19,'Plan de Desarrollo'!$C$6:$C$425,"En progreso")</f>
        <v/>
      </c>
      <c r="H26" s="24">
        <f>IFERROR(F26/E26,0)</f>
        <v/>
      </c>
    </row>
    <row r="27">
      <c r="A27" s="28" t="inlineStr">
        <is>
          <t>S20</t>
        </is>
      </c>
      <c r="B27" s="28" t="inlineStr">
        <is>
          <t>V1</t>
        </is>
      </c>
      <c r="C27" s="28" t="inlineStr">
        <is>
          <t>Esencial</t>
        </is>
      </c>
      <c r="D27" s="29" t="inlineStr">
        <is>
          <t>Publicidad, métricas de creadores, rendimiento y apps móviles   —   🚩 Hito V1</t>
        </is>
      </c>
      <c r="E27" s="28">
        <f>COUNTIF('Plan de Desarrollo'!$J$6:$J$425,20)</f>
        <v/>
      </c>
      <c r="F27" s="28">
        <f>COUNTIFS('Plan de Desarrollo'!$J$6:$J$425,20,'Plan de Desarrollo'!$C$6:$C$425,"Completo")</f>
        <v/>
      </c>
      <c r="G27" s="28">
        <f>COUNTIFS('Plan de Desarrollo'!$J$6:$J$425,20,'Plan de Desarrollo'!$C$6:$C$425,"En progreso")</f>
        <v/>
      </c>
      <c r="H27" s="30">
        <f>IFERROR(F27/E27,0)</f>
        <v/>
      </c>
    </row>
    <row r="28">
      <c r="A28" s="6" t="inlineStr">
        <is>
          <t>S21</t>
        </is>
      </c>
      <c r="B28" s="6" t="inlineStr">
        <is>
          <t>V2</t>
        </is>
      </c>
      <c r="C28" s="6" t="inlineStr">
        <is>
          <t>Expansión</t>
        </is>
      </c>
      <c r="D28" s="8" t="inlineStr">
        <is>
          <t>Negocios, sucursales y equipo</t>
        </is>
      </c>
      <c r="E28" s="6">
        <f>COUNTIF('Plan de Desarrollo'!$J$6:$J$425,21)</f>
        <v/>
      </c>
      <c r="F28" s="6">
        <f>COUNTIFS('Plan de Desarrollo'!$J$6:$J$425,21,'Plan de Desarrollo'!$C$6:$C$425,"Completo")</f>
        <v/>
      </c>
      <c r="G28" s="6">
        <f>COUNTIFS('Plan de Desarrollo'!$J$6:$J$425,21,'Plan de Desarrollo'!$C$6:$C$425,"En progreso")</f>
        <v/>
      </c>
      <c r="H28" s="24">
        <f>IFERROR(F28/E28,0)</f>
        <v/>
      </c>
    </row>
    <row r="29">
      <c r="A29" s="6" t="inlineStr">
        <is>
          <t>S22</t>
        </is>
      </c>
      <c r="B29" s="6" t="inlineStr">
        <is>
          <t>V2</t>
        </is>
      </c>
      <c r="C29" s="6" t="inlineStr">
        <is>
          <t>Expansión</t>
        </is>
      </c>
      <c r="D29" s="8" t="inlineStr">
        <is>
          <t>Agenda de equipo</t>
        </is>
      </c>
      <c r="E29" s="6">
        <f>COUNTIF('Plan de Desarrollo'!$J$6:$J$425,22)</f>
        <v/>
      </c>
      <c r="F29" s="6">
        <f>COUNTIFS('Plan de Desarrollo'!$J$6:$J$425,22,'Plan de Desarrollo'!$C$6:$C$425,"Completo")</f>
        <v/>
      </c>
      <c r="G29" s="6">
        <f>COUNTIFS('Plan de Desarrollo'!$J$6:$J$425,22,'Plan de Desarrollo'!$C$6:$C$425,"En progreso")</f>
        <v/>
      </c>
      <c r="H29" s="24">
        <f>IFERROR(F29/E29,0)</f>
        <v/>
      </c>
    </row>
    <row r="30">
      <c r="A30" s="6" t="inlineStr">
        <is>
          <t>S23</t>
        </is>
      </c>
      <c r="B30" s="6" t="inlineStr">
        <is>
          <t>V2</t>
        </is>
      </c>
      <c r="C30" s="6" t="inlineStr">
        <is>
          <t>Expansión</t>
        </is>
      </c>
      <c r="D30" s="8" t="inlineStr">
        <is>
          <t>CRM y puntos/referidos</t>
        </is>
      </c>
      <c r="E30" s="6">
        <f>COUNTIF('Plan de Desarrollo'!$J$6:$J$425,23)</f>
        <v/>
      </c>
      <c r="F30" s="6">
        <f>COUNTIFS('Plan de Desarrollo'!$J$6:$J$425,23,'Plan de Desarrollo'!$C$6:$C$425,"Completo")</f>
        <v/>
      </c>
      <c r="G30" s="6">
        <f>COUNTIFS('Plan de Desarrollo'!$J$6:$J$425,23,'Plan de Desarrollo'!$C$6:$C$425,"En progreso")</f>
        <v/>
      </c>
      <c r="H30" s="24">
        <f>IFERROR(F30/E30,0)</f>
        <v/>
      </c>
    </row>
    <row r="31">
      <c r="A31" s="6" t="inlineStr">
        <is>
          <t>S24</t>
        </is>
      </c>
      <c r="B31" s="6" t="inlineStr">
        <is>
          <t>V2</t>
        </is>
      </c>
      <c r="C31" s="6" t="inlineStr">
        <is>
          <t>Expansión</t>
        </is>
      </c>
      <c r="D31" s="8" t="inlineStr">
        <is>
          <t>Membresías y paquetes</t>
        </is>
      </c>
      <c r="E31" s="6">
        <f>COUNTIF('Plan de Desarrollo'!$J$6:$J$425,24)</f>
        <v/>
      </c>
      <c r="F31" s="6">
        <f>COUNTIFS('Plan de Desarrollo'!$J$6:$J$425,24,'Plan de Desarrollo'!$C$6:$C$425,"Completo")</f>
        <v/>
      </c>
      <c r="G31" s="6">
        <f>COUNTIFS('Plan de Desarrollo'!$J$6:$J$425,24,'Plan de Desarrollo'!$C$6:$C$425,"En progreso")</f>
        <v/>
      </c>
      <c r="H31" s="24">
        <f>IFERROR(F31/E31,0)</f>
        <v/>
      </c>
    </row>
    <row r="32">
      <c r="A32" s="6" t="inlineStr">
        <is>
          <t>S25</t>
        </is>
      </c>
      <c r="B32" s="6" t="inlineStr">
        <is>
          <t>V2</t>
        </is>
      </c>
      <c r="C32" s="6" t="inlineStr">
        <is>
          <t>Expansión</t>
        </is>
      </c>
      <c r="D32" s="8" t="inlineStr">
        <is>
          <t>POS (punto de venta)</t>
        </is>
      </c>
      <c r="E32" s="6">
        <f>COUNTIF('Plan de Desarrollo'!$J$6:$J$425,25)</f>
        <v/>
      </c>
      <c r="F32" s="6">
        <f>COUNTIFS('Plan de Desarrollo'!$J$6:$J$425,25,'Plan de Desarrollo'!$C$6:$C$425,"Completo")</f>
        <v/>
      </c>
      <c r="G32" s="6">
        <f>COUNTIFS('Plan de Desarrollo'!$J$6:$J$425,25,'Plan de Desarrollo'!$C$6:$C$425,"En progreso")</f>
        <v/>
      </c>
      <c r="H32" s="24">
        <f>IFERROR(F32/E32,0)</f>
        <v/>
      </c>
    </row>
    <row r="33">
      <c r="A33" s="6" t="inlineStr">
        <is>
          <t>S26</t>
        </is>
      </c>
      <c r="B33" s="6" t="inlineStr">
        <is>
          <t>V2</t>
        </is>
      </c>
      <c r="C33" s="6" t="inlineStr">
        <is>
          <t>Expansión</t>
        </is>
      </c>
      <c r="D33" s="8" t="inlineStr">
        <is>
          <t>Inventario</t>
        </is>
      </c>
      <c r="E33" s="6">
        <f>COUNTIF('Plan de Desarrollo'!$J$6:$J$425,26)</f>
        <v/>
      </c>
      <c r="F33" s="6">
        <f>COUNTIFS('Plan de Desarrollo'!$J$6:$J$425,26,'Plan de Desarrollo'!$C$6:$C$425,"Completo")</f>
        <v/>
      </c>
      <c r="G33" s="6">
        <f>COUNTIFS('Plan de Desarrollo'!$J$6:$J$425,26,'Plan de Desarrollo'!$C$6:$C$425,"En progreso")</f>
        <v/>
      </c>
      <c r="H33" s="24">
        <f>IFERROR(F33/E33,0)</f>
        <v/>
      </c>
    </row>
    <row r="34">
      <c r="A34" s="6" t="inlineStr">
        <is>
          <t>S27</t>
        </is>
      </c>
      <c r="B34" s="6" t="inlineStr">
        <is>
          <t>V2</t>
        </is>
      </c>
      <c r="C34" s="6" t="inlineStr">
        <is>
          <t>Expansión</t>
        </is>
      </c>
      <c r="D34" s="8" t="inlineStr">
        <is>
          <t>Comisiones de empleados y analítica de negocio</t>
        </is>
      </c>
      <c r="E34" s="6">
        <f>COUNTIF('Plan de Desarrollo'!$J$6:$J$425,27)</f>
        <v/>
      </c>
      <c r="F34" s="6">
        <f>COUNTIFS('Plan de Desarrollo'!$J$6:$J$425,27,'Plan de Desarrollo'!$C$6:$C$425,"Completo")</f>
        <v/>
      </c>
      <c r="G34" s="6">
        <f>COUNTIFS('Plan de Desarrollo'!$J$6:$J$425,27,'Plan de Desarrollo'!$C$6:$C$425,"En progreso")</f>
        <v/>
      </c>
      <c r="H34" s="24">
        <f>IFERROR(F34/E34,0)</f>
        <v/>
      </c>
    </row>
    <row r="35">
      <c r="A35" s="28" t="inlineStr">
        <is>
          <t>S28</t>
        </is>
      </c>
      <c r="B35" s="28" t="inlineStr">
        <is>
          <t>V2</t>
        </is>
      </c>
      <c r="C35" s="28" t="inlineStr">
        <is>
          <t>Expansión</t>
        </is>
      </c>
      <c r="D35" s="29" t="inlineStr">
        <is>
          <t>Escala y escritorio (Windows/macOS)   —   🚩 Hito V2</t>
        </is>
      </c>
      <c r="E35" s="28">
        <f>COUNTIF('Plan de Desarrollo'!$J$6:$J$425,28)</f>
        <v/>
      </c>
      <c r="F35" s="28">
        <f>COUNTIFS('Plan de Desarrollo'!$J$6:$J$425,28,'Plan de Desarrollo'!$C$6:$C$425,"Completo")</f>
        <v/>
      </c>
      <c r="G35" s="28">
        <f>COUNTIFS('Plan de Desarrollo'!$J$6:$J$425,28,'Plan de Desarrollo'!$C$6:$C$425,"En progreso")</f>
        <v/>
      </c>
      <c r="H35" s="30">
        <f>IFERROR(F35/E35,0)</f>
        <v/>
      </c>
    </row>
    <row r="36">
      <c r="A36" s="6" t="inlineStr">
        <is>
          <t>S29</t>
        </is>
      </c>
      <c r="B36" s="6" t="inlineStr">
        <is>
          <t>V3</t>
        </is>
      </c>
      <c r="C36" s="6" t="inlineStr">
        <is>
          <t>Visión</t>
        </is>
      </c>
      <c r="D36" s="8" t="inlineStr">
        <is>
          <t>Owney Events</t>
        </is>
      </c>
      <c r="E36" s="6">
        <f>COUNTIF('Plan de Desarrollo'!$J$6:$J$425,29)</f>
        <v/>
      </c>
      <c r="F36" s="6">
        <f>COUNTIFS('Plan de Desarrollo'!$J$6:$J$425,29,'Plan de Desarrollo'!$C$6:$C$425,"Completo")</f>
        <v/>
      </c>
      <c r="G36" s="6">
        <f>COUNTIFS('Plan de Desarrollo'!$J$6:$J$425,29,'Plan de Desarrollo'!$C$6:$C$425,"En progreso")</f>
        <v/>
      </c>
      <c r="H36" s="24">
        <f>IFERROR(F36/E36,0)</f>
        <v/>
      </c>
    </row>
    <row r="37">
      <c r="A37" s="6" t="inlineStr">
        <is>
          <t>S30</t>
        </is>
      </c>
      <c r="B37" s="6" t="inlineStr">
        <is>
          <t>V3</t>
        </is>
      </c>
      <c r="C37" s="6" t="inlineStr">
        <is>
          <t>Visión</t>
        </is>
      </c>
      <c r="D37" s="8" t="inlineStr">
        <is>
          <t>Cronograma de eventos y Squad</t>
        </is>
      </c>
      <c r="E37" s="6">
        <f>COUNTIF('Plan de Desarrollo'!$J$6:$J$425,30)</f>
        <v/>
      </c>
      <c r="F37" s="6">
        <f>COUNTIFS('Plan de Desarrollo'!$J$6:$J$425,30,'Plan de Desarrollo'!$C$6:$C$425,"Completo")</f>
        <v/>
      </c>
      <c r="G37" s="6">
        <f>COUNTIFS('Plan de Desarrollo'!$J$6:$J$425,30,'Plan de Desarrollo'!$C$6:$C$425,"En progreso")</f>
        <v/>
      </c>
      <c r="H37" s="24">
        <f>IFERROR(F37/E37,0)</f>
        <v/>
      </c>
    </row>
    <row r="38">
      <c r="A38" s="6" t="inlineStr">
        <is>
          <t>S31</t>
        </is>
      </c>
      <c r="B38" s="6" t="inlineStr">
        <is>
          <t>V3</t>
        </is>
      </c>
      <c r="C38" s="6" t="inlineStr">
        <is>
          <t>Visión</t>
        </is>
      </c>
      <c r="D38" s="8" t="inlineStr">
        <is>
          <t>Smart Pricing y Beauty Match</t>
        </is>
      </c>
      <c r="E38" s="6">
        <f>COUNTIF('Plan de Desarrollo'!$J$6:$J$425,31)</f>
        <v/>
      </c>
      <c r="F38" s="6">
        <f>COUNTIFS('Plan de Desarrollo'!$J$6:$J$425,31,'Plan de Desarrollo'!$C$6:$C$425,"Completo")</f>
        <v/>
      </c>
      <c r="G38" s="6">
        <f>COUNTIFS('Plan de Desarrollo'!$J$6:$J$425,31,'Plan de Desarrollo'!$C$6:$C$425,"En progreso")</f>
        <v/>
      </c>
      <c r="H38" s="24">
        <f>IFERROR(F38/E38,0)</f>
        <v/>
      </c>
    </row>
    <row r="39">
      <c r="A39" s="6" t="inlineStr">
        <is>
          <t>S32</t>
        </is>
      </c>
      <c r="B39" s="6" t="inlineStr">
        <is>
          <t>V3</t>
        </is>
      </c>
      <c r="C39" s="6" t="inlineStr">
        <is>
          <t>Visión</t>
        </is>
      </c>
      <c r="D39" s="8" t="inlineStr">
        <is>
          <t>Asistente IA para negocios</t>
        </is>
      </c>
      <c r="E39" s="6">
        <f>COUNTIF('Plan de Desarrollo'!$J$6:$J$425,32)</f>
        <v/>
      </c>
      <c r="F39" s="6">
        <f>COUNTIFS('Plan de Desarrollo'!$J$6:$J$425,32,'Plan de Desarrollo'!$C$6:$C$425,"Completo")</f>
        <v/>
      </c>
      <c r="G39" s="6">
        <f>COUNTIFS('Plan de Desarrollo'!$J$6:$J$425,32,'Plan de Desarrollo'!$C$6:$C$425,"En progreso")</f>
        <v/>
      </c>
      <c r="H39" s="24">
        <f>IFERROR(F39/E39,0)</f>
        <v/>
      </c>
    </row>
    <row r="40">
      <c r="A40" s="6" t="inlineStr">
        <is>
          <t>S33</t>
        </is>
      </c>
      <c r="B40" s="6" t="inlineStr">
        <is>
          <t>V3</t>
        </is>
      </c>
      <c r="C40" s="6" t="inlineStr">
        <is>
          <t>Visión</t>
        </is>
      </c>
      <c r="D40" s="8" t="inlineStr">
        <is>
          <t>Owney Shop: catálogo y órdenes</t>
        </is>
      </c>
      <c r="E40" s="6">
        <f>COUNTIF('Plan de Desarrollo'!$J$6:$J$425,33)</f>
        <v/>
      </c>
      <c r="F40" s="6">
        <f>COUNTIFS('Plan de Desarrollo'!$J$6:$J$425,33,'Plan de Desarrollo'!$C$6:$C$425,"Completo")</f>
        <v/>
      </c>
      <c r="G40" s="6">
        <f>COUNTIFS('Plan de Desarrollo'!$J$6:$J$425,33,'Plan de Desarrollo'!$C$6:$C$425,"En progreso")</f>
        <v/>
      </c>
      <c r="H40" s="24">
        <f>IFERROR(F40/E40,0)</f>
        <v/>
      </c>
    </row>
    <row r="41">
      <c r="A41" s="28" t="inlineStr">
        <is>
          <t>S34</t>
        </is>
      </c>
      <c r="B41" s="28" t="inlineStr">
        <is>
          <t>V3</t>
        </is>
      </c>
      <c r="C41" s="28" t="inlineStr">
        <is>
          <t>Visión</t>
        </is>
      </c>
      <c r="D41" s="29" t="inlineStr">
        <is>
          <t>Owney Shop: pago y entrega   —   🚩 Hito V3</t>
        </is>
      </c>
      <c r="E41" s="28">
        <f>COUNTIF('Plan de Desarrollo'!$J$6:$J$425,34)</f>
        <v/>
      </c>
      <c r="F41" s="28">
        <f>COUNTIFS('Plan de Desarrollo'!$J$6:$J$425,34,'Plan de Desarrollo'!$C$6:$C$425,"Completo")</f>
        <v/>
      </c>
      <c r="G41" s="28">
        <f>COUNTIFS('Plan de Desarrollo'!$J$6:$J$425,34,'Plan de Desarrollo'!$C$6:$C$425,"En progreso")</f>
        <v/>
      </c>
      <c r="H41" s="30">
        <f>IFERROR(F41/E41,0)</f>
        <v/>
      </c>
    </row>
  </sheetData>
  <conditionalFormatting sqref="H7:H41">
    <cfRule type="dataBar" priority="1">
      <dataBar>
        <cfvo type="num" val="0"/>
        <cfvo type="num" val="1"/>
        <color rgb="007F7F7F"/>
      </dataBar>
    </cfRule>
  </conditionalFormatting>
  <pageMargins left="0.75" right="0.75" top="1" bottom="1" header="0.5" footer="0.5"/>
  <pageSetup orientation="landscape" fitToWidth="1"/>
  <drawing xmlns:r="http://schemas.openxmlformats.org/officeDocument/2006/relationships" r:id="rId1"/>
</worksheet>
</file>

<file path=xl/worksheets/sheet4.xml><?xml version="1.0" encoding="utf-8"?>
<worksheet xmlns="http://schemas.openxmlformats.org/spreadsheetml/2006/main">
  <sheetPr>
    <tabColor rgb="00BFBFBF"/>
    <outlinePr summaryBelow="1" summaryRight="1"/>
    <pageSetUpPr/>
  </sheetPr>
  <dimension ref="A1:G35"/>
  <sheetViews>
    <sheetView workbookViewId="0">
      <pane ySplit="6" topLeftCell="A7" activePane="bottomLeft" state="frozen"/>
      <selection pane="bottomLeft" activeCell="A1" sqref="A1"/>
    </sheetView>
  </sheetViews>
  <sheetFormatPr baseColWidth="8" defaultRowHeight="15"/>
  <cols>
    <col width="7" customWidth="1" min="1" max="1"/>
    <col width="9" customWidth="1" min="2" max="2"/>
    <col width="30" customWidth="1" min="3" max="3"/>
    <col width="18" customWidth="1" min="4" max="4"/>
    <col width="16" customWidth="1" min="5" max="5"/>
    <col width="70" customWidth="1" min="6" max="6"/>
    <col width="60" customWidth="1" min="7" max="7"/>
  </cols>
  <sheetData>
    <row r="1" ht="24" customHeight="1">
      <c r="A1" s="1" t="n"/>
      <c r="B1" s="1" t="n"/>
      <c r="C1" s="1" t="n"/>
      <c r="D1" s="1" t="n"/>
      <c r="E1" s="1" t="n"/>
      <c r="F1" s="1" t="n"/>
      <c r="G1" s="1" t="n"/>
    </row>
    <row r="2" ht="24" customHeight="1">
      <c r="A2" s="1" t="n"/>
      <c r="B2" s="1" t="n"/>
      <c r="C2" s="2" t="inlineStr">
        <is>
          <t>Catálogo de Módulos</t>
        </is>
      </c>
      <c r="D2" s="1" t="n"/>
      <c r="E2" s="1" t="n"/>
      <c r="F2" s="1" t="n"/>
      <c r="G2" s="1" t="n"/>
    </row>
    <row r="3" ht="24" customHeight="1">
      <c r="A3" s="1" t="n"/>
      <c r="B3" s="1" t="n"/>
      <c r="C3" s="3" t="inlineStr">
        <is>
          <t>27 módulos de código + 2 áreas transversales</t>
        </is>
      </c>
      <c r="D3" s="1" t="n"/>
      <c r="E3" s="1" t="n"/>
      <c r="F3" s="1" t="n"/>
      <c r="G3" s="1" t="n"/>
    </row>
    <row r="4" ht="24" customHeight="1">
      <c r="A4" s="1" t="n"/>
      <c r="B4" s="1" t="n"/>
      <c r="C4" s="1" t="n"/>
      <c r="D4" s="1" t="n"/>
      <c r="E4" s="1" t="n"/>
      <c r="F4" s="1" t="n"/>
      <c r="G4" s="1" t="n"/>
    </row>
    <row r="6" ht="30" customHeight="1">
      <c r="A6" s="5" t="inlineStr">
        <is>
          <t>#</t>
        </is>
      </c>
      <c r="B6" s="5" t="inlineStr">
        <is>
          <t>Código</t>
        </is>
      </c>
      <c r="C6" s="5" t="inlineStr">
        <is>
          <t>Módulo</t>
        </is>
      </c>
      <c r="D6" s="5" t="inlineStr">
        <is>
          <t>Grupo</t>
        </is>
      </c>
      <c r="E6" s="5" t="inlineStr">
        <is>
          <t>Esquema BD</t>
        </is>
      </c>
      <c r="F6" s="5" t="inlineStr">
        <is>
          <t>Propósito</t>
        </is>
      </c>
      <c r="G6" s="5" t="inlineStr">
        <is>
          <t>Entidades principales</t>
        </is>
      </c>
    </row>
    <row r="7" ht="62" customHeight="1">
      <c r="A7" s="6" t="inlineStr">
        <is>
          <t>00</t>
        </is>
      </c>
      <c r="B7" s="6" t="inlineStr">
        <is>
          <t>PLT</t>
        </is>
      </c>
      <c r="C7" s="8" t="inlineStr">
        <is>
          <t>Plataforma y Shared Kernel</t>
        </is>
      </c>
      <c r="D7" s="8" t="inlineStr">
        <is>
          <t>Base</t>
        </is>
      </c>
      <c r="E7" s="8" t="inlineStr">
        <is>
          <t>platform</t>
        </is>
      </c>
      <c r="F7" s="8" t="inlineStr">
        <is>
          <t>Base técnica común: valores compartidos, eventos con outbox, idempotencia, cache, worker, seguridad perimetral y observabilidad. Ningún módulo de negocio se construye sin ella.</t>
        </is>
      </c>
      <c r="G7" s="8" t="inlineStr">
        <is>
          <t>Money, Address, GeoPoint, DateTimeRange, IdempotencyRecord, OutboxMessage, InboxMessage, Province, Municipality, Sector, TaxRate</t>
        </is>
      </c>
    </row>
    <row r="8" ht="62" customHeight="1">
      <c r="A8" s="6" t="inlineStr">
        <is>
          <t>01</t>
        </is>
      </c>
      <c r="B8" s="6" t="inlineStr">
        <is>
          <t>ACC</t>
        </is>
      </c>
      <c r="C8" s="8" t="inlineStr">
        <is>
          <t>Identidad y Cuentas</t>
        </is>
      </c>
      <c r="D8" s="8" t="inlineStr">
        <is>
          <t>Red social</t>
        </is>
      </c>
      <c r="E8" s="8" t="inlineStr">
        <is>
          <t>host + accounts</t>
        </is>
      </c>
      <c r="F8" s="8" t="inlineStr">
        <is>
          <t>Una identidad con varios roles (cliente, profesional, negocio). Registro, verificación, login seguro, cambio de modo y privacidad de la cuenta.</t>
        </is>
      </c>
      <c r="G8" s="8" t="inlineStr">
        <is>
          <t>IdentityUser (extendido), LegalDocumentVersion, UserConsent, VerificationChallenge, DataExportRequest, AccountDeletionRequest</t>
        </is>
      </c>
    </row>
    <row r="9" ht="62" customHeight="1">
      <c r="A9" s="6" t="inlineStr">
        <is>
          <t>02</t>
        </is>
      </c>
      <c r="B9" s="6" t="inlineStr">
        <is>
          <t>PRF</t>
        </is>
      </c>
      <c r="C9" s="8" t="inlineStr">
        <is>
          <t>Perfiles</t>
        </is>
      </c>
      <c r="D9" s="8" t="inlineStr">
        <is>
          <t>Red social</t>
        </is>
      </c>
      <c r="E9" s="8" t="inlineStr">
        <is>
          <t>profiles</t>
        </is>
      </c>
      <c r="F9" s="8" t="inlineStr">
        <is>
          <t>Perfil público único con @usuario para clientes, profesionales y negocios. Es la “página” de cada persona en la red: bio, portafolio, servicios destacados, favoritos y Beauty Passport.</t>
        </is>
      </c>
      <c r="G9" s="8" t="inlineStr">
        <is>
          <t>Profile (@handle, tipo, visibilidad), ProfessionalShowcase, PortfolioItem, ClientAddress, Favorite, BeautyPreference, InspirationBoard</t>
        </is>
      </c>
    </row>
    <row r="10" ht="62" customHeight="1">
      <c r="A10" s="6" t="inlineStr">
        <is>
          <t>03</t>
        </is>
      </c>
      <c r="B10" s="6" t="inlineStr">
        <is>
          <t>GRF</t>
        </is>
      </c>
      <c r="C10" s="8" t="inlineStr">
        <is>
          <t>Grafo Social</t>
        </is>
      </c>
      <c r="D10" s="8" t="inlineStr">
        <is>
          <t>Red social</t>
        </is>
      </c>
      <c r="E10" s="8" t="inlineStr">
        <is>
          <t>social_graph</t>
        </is>
      </c>
      <c r="F10" s="8" t="inlineStr">
        <is>
          <t>Relaciones entre perfiles: seguir, solicitudes, bloquear y silenciar. Base del feed y de la privacidad.</t>
        </is>
      </c>
      <c r="G10" s="8" t="inlineStr">
        <is>
          <t>Follow, FollowRequest, Block, Mute, FollowCounters (proyección)</t>
        </is>
      </c>
    </row>
    <row r="11" ht="62" customHeight="1">
      <c r="A11" s="6" t="inlineStr">
        <is>
          <t>04</t>
        </is>
      </c>
      <c r="B11" s="6" t="inlineStr">
        <is>
          <t>CNT</t>
        </is>
      </c>
      <c r="C11" s="8" t="inlineStr">
        <is>
          <t>Contenido</t>
        </is>
      </c>
      <c r="D11" s="8" t="inlineStr">
        <is>
          <t>Red social</t>
        </is>
      </c>
      <c r="E11" s="8" t="inlineStr">
        <is>
          <t>content</t>
        </is>
      </c>
      <c r="F11" s="8" t="inlineStr">
        <is>
          <t>Publicaciones, interacciones y social commerce. Cada post puede etiquetar servicios y abrir “Reservar este look”.</t>
        </is>
      </c>
      <c r="G11" s="8" t="inlineStr">
        <is>
          <t>Post, PostMedia, Comment, Like, Save, Share, Hashtag, Mention, PostServiceTag, Reel, Story</t>
        </is>
      </c>
    </row>
    <row r="12" ht="62" customHeight="1">
      <c r="A12" s="6" t="inlineStr">
        <is>
          <t>05</t>
        </is>
      </c>
      <c r="B12" s="6" t="inlineStr">
        <is>
          <t>FED</t>
        </is>
      </c>
      <c r="C12" s="8" t="inlineStr">
        <is>
          <t>Feed, Explorar y Búsqueda</t>
        </is>
      </c>
      <c r="D12" s="8" t="inlineStr">
        <is>
          <t>Red social</t>
        </is>
      </c>
      <c r="E12" s="8" t="inlineStr">
        <is>
          <t>discovery</t>
        </is>
      </c>
      <c r="F12" s="8" t="inlineStr">
        <is>
          <t>Cómo se descubre el contenido y a los profesionales: feed de seguidos, Explorar, búsqueda de perfiles/hashtags y Discover de profesionales con filtros, mapa y disponibilidad.</t>
        </is>
      </c>
      <c r="G12" s="8" t="inlineStr">
        <is>
          <t>FeedItem, ExploreTopic, ProviderSearchDocument (read model), SearchQueryLog, TrendingTopic</t>
        </is>
      </c>
    </row>
    <row r="13" ht="62" customHeight="1">
      <c r="A13" s="6" t="inlineStr">
        <is>
          <t>06</t>
        </is>
      </c>
      <c r="B13" s="6" t="inlineStr">
        <is>
          <t>MSG</t>
        </is>
      </c>
      <c r="C13" s="8" t="inlineStr">
        <is>
          <t>Mensajería</t>
        </is>
      </c>
      <c r="D13" s="8" t="inlineStr">
        <is>
          <t>Red social</t>
        </is>
      </c>
      <c r="E13" s="8" t="inlineStr">
        <is>
          <t>messaging</t>
        </is>
      </c>
      <c r="F13" s="8" t="inlineStr">
        <is>
          <t>Mensajes directos entre usuarios y chat vinculado a cada reserva, en tiempo real.</t>
        </is>
      </c>
      <c r="G13" s="8" t="inlineStr">
        <is>
          <t>Conversation, ConversationParticipant, Message, MessageAttachment, MessageReceipt, MessageRequest</t>
        </is>
      </c>
    </row>
    <row r="14" ht="62" customHeight="1">
      <c r="A14" s="6" t="inlineStr">
        <is>
          <t>07</t>
        </is>
      </c>
      <c r="B14" s="6" t="inlineStr">
        <is>
          <t>NTF</t>
        </is>
      </c>
      <c r="C14" s="8" t="inlineStr">
        <is>
          <t>Notificaciones</t>
        </is>
      </c>
      <c r="D14" s="8" t="inlineStr">
        <is>
          <t>Red social</t>
        </is>
      </c>
      <c r="E14" s="8" t="inlineStr">
        <is>
          <t>notifications</t>
        </is>
      </c>
      <c r="F14" s="8" t="inlineStr">
        <is>
          <t>Motor único que convierte eventos en avisos in-app, email, SMS y push, sin duplicados y con deep links.</t>
        </is>
      </c>
      <c r="G14" s="8" t="inlineStr">
        <is>
          <t>Notification, NotificationTemplate, NotificationPreference, DeviceToken, DeliveryLog</t>
        </is>
      </c>
    </row>
    <row r="15" ht="62" customHeight="1">
      <c r="A15" s="6" t="inlineStr">
        <is>
          <t>08</t>
        </is>
      </c>
      <c r="B15" s="6" t="inlineStr">
        <is>
          <t>MED</t>
        </is>
      </c>
      <c r="C15" s="8" t="inlineStr">
        <is>
          <t>Media</t>
        </is>
      </c>
      <c r="D15" s="8" t="inlineStr">
        <is>
          <t>Soporte de la red</t>
        </is>
      </c>
      <c r="E15" s="8" t="inlineStr">
        <is>
          <t>media</t>
        </is>
      </c>
      <c r="F15" s="8" t="inlineStr">
        <is>
          <t>Subida, validación, procesamiento y entrega de fotos, videos y documentos. KYC en almacenamiento privado; contenido social por CDN.</t>
        </is>
      </c>
      <c r="G15" s="8" t="inlineStr">
        <is>
          <t>MediaAsset (propósito, visibilidad, estado), MediaVariant</t>
        </is>
      </c>
    </row>
    <row r="16" ht="62" customHeight="1">
      <c r="A16" s="6" t="inlineStr">
        <is>
          <t>09</t>
        </is>
      </c>
      <c r="B16" s="6" t="inlineStr">
        <is>
          <t>TRS</t>
        </is>
      </c>
      <c r="C16" s="8" t="inlineStr">
        <is>
          <t>Confianza y Seguridad</t>
        </is>
      </c>
      <c r="D16" s="8" t="inlineStr">
        <is>
          <t>Soporte de la red</t>
        </is>
      </c>
      <c r="E16" s="8" t="inlineStr">
        <is>
          <t>trust</t>
        </is>
      </c>
      <c r="F16" s="8" t="inlineStr">
        <is>
          <t>Moderación de contenido (requisito de Apple/Google para apps con contenido de usuarios), disputas de reservas (Owney Protect) y soporte.</t>
        </is>
      </c>
      <c r="G16" s="8" t="inlineStr">
        <is>
          <t>ContentReport, ModerationCase, ModerationAction, AccountSanction, Dispute, DisputeEvidence, Appeal, SupportTicket, HelpArticle</t>
        </is>
      </c>
    </row>
    <row r="17" ht="62" customHeight="1">
      <c r="A17" s="6" t="inlineStr">
        <is>
          <t>10</t>
        </is>
      </c>
      <c r="B17" s="6" t="inlineStr">
        <is>
          <t>VER</t>
        </is>
      </c>
      <c r="C17" s="8" t="inlineStr">
        <is>
          <t>Profesionales y Verificación</t>
        </is>
      </c>
      <c r="D17" s="8" t="inlineStr">
        <is>
          <t>Marketplace</t>
        </is>
      </c>
      <c r="E17" s="8" t="inlineStr">
        <is>
          <t>professionals</t>
        </is>
      </c>
      <c r="F17" s="8" t="inlineStr">
        <is>
          <t>Habilitar a un usuario como profesional: solicitud, documentos KYC, revisión administrativa e insignias de confianza.</t>
        </is>
      </c>
      <c r="G17" s="8" t="inlineStr">
        <is>
          <t>ProfessionalApplication, KycDocument (versionado), KycReviewDecision, Specialty, Certification, Badge</t>
        </is>
      </c>
    </row>
    <row r="18" ht="62" customHeight="1">
      <c r="A18" s="6" t="inlineStr">
        <is>
          <t>11</t>
        </is>
      </c>
      <c r="B18" s="6" t="inlineStr">
        <is>
          <t>CAT</t>
        </is>
      </c>
      <c r="C18" s="8" t="inlineStr">
        <is>
          <t>Catálogo de Servicios</t>
        </is>
      </c>
      <c r="D18" s="8" t="inlineStr">
        <is>
          <t>Marketplace</t>
        </is>
      </c>
      <c r="E18" s="8" t="inlineStr">
        <is>
          <t>catalog</t>
        </is>
      </c>
      <c r="F18" s="8" t="inlineStr">
        <is>
          <t>Servicios reservables con precio, duración, modalidad (salón/domicilio) y políticas.</t>
        </is>
      </c>
      <c r="G18" s="8" t="inlineStr">
        <is>
          <t>ServiceCategory, Service, ServiceVariant, ServiceAddon, CancellationPolicy, DepositPolicy</t>
        </is>
      </c>
    </row>
    <row r="19" ht="62" customHeight="1">
      <c r="A19" s="6" t="inlineStr">
        <is>
          <t>12</t>
        </is>
      </c>
      <c r="B19" s="6" t="inlineStr">
        <is>
          <t>SCH</t>
        </is>
      </c>
      <c r="C19" s="8" t="inlineStr">
        <is>
          <t>Agenda y Disponibilidad</t>
        </is>
      </c>
      <c r="D19" s="8" t="inlineStr">
        <is>
          <t>Marketplace</t>
        </is>
      </c>
      <c r="E19" s="8" t="inlineStr">
        <is>
          <t>scheduling</t>
        </is>
      </c>
      <c r="F19" s="8" t="inlineStr">
        <is>
          <t>Horarios, ausencias y bloqueos; motor que calcula slots reales y evita la doble reserva.</t>
        </is>
      </c>
      <c r="G19" s="8" t="inlineStr">
        <is>
          <t>ResourceSchedule, WorkingHoursRule, TimeOff, CalendarBlock, BufferSettings</t>
        </is>
      </c>
    </row>
    <row r="20" ht="62" customHeight="1">
      <c r="A20" s="6" t="inlineStr">
        <is>
          <t>13</t>
        </is>
      </c>
      <c r="B20" s="6" t="inlineStr">
        <is>
          <t>BKG</t>
        </is>
      </c>
      <c r="C20" s="8" t="inlineStr">
        <is>
          <t>Reservas</t>
        </is>
      </c>
      <c r="D20" s="8" t="inlineStr">
        <is>
          <t>Marketplace</t>
        </is>
      </c>
      <c r="E20" s="8" t="inlineStr">
        <is>
          <t>booking</t>
        </is>
      </c>
      <c r="F20" s="8" t="inlineStr">
        <is>
          <t>Cotización, confirmación, cambios, cancelación y ciclo del servicio con evidencia; lista de espera.</t>
        </is>
      </c>
      <c r="G20" s="8" t="inlineStr">
        <is>
          <t>Booking (snapshot contractual), BookingQuote, BookingStatusEvent, ServiceStartPin, WaitlistEntry, RecurringSeries</t>
        </is>
      </c>
    </row>
    <row r="21" ht="62" customHeight="1">
      <c r="A21" s="6" t="inlineStr">
        <is>
          <t>14</t>
        </is>
      </c>
      <c r="B21" s="6" t="inlineStr">
        <is>
          <t>HOM</t>
        </is>
      </c>
      <c r="C21" s="8" t="inlineStr">
        <is>
          <t>Servicio a Domicilio</t>
        </is>
      </c>
      <c r="D21" s="8" t="inlineStr">
        <is>
          <t>Marketplace</t>
        </is>
      </c>
      <c r="E21" s="8" t="inlineStr">
        <is>
          <t>home</t>
        </is>
      </c>
      <c r="F21" s="8" t="inlineStr">
        <is>
          <t>Cobertura, cálculo transparente del traslado, protección de la dirección y estados del desplazamiento.</t>
        </is>
      </c>
      <c r="G21" s="8" t="inlineStr">
        <is>
          <t>CoverageZone, TravelFeeRule, TravelQuote, AddressAccessLog, TrackingSession</t>
        </is>
      </c>
    </row>
    <row r="22" ht="62" customHeight="1">
      <c r="A22" s="6" t="inlineStr">
        <is>
          <t>15</t>
        </is>
      </c>
      <c r="B22" s="6" t="inlineStr">
        <is>
          <t>REP</t>
        </is>
      </c>
      <c r="C22" s="8" t="inlineStr">
        <is>
          <t>Reseñas y Reputación</t>
        </is>
      </c>
      <c r="D22" s="8" t="inlineStr">
        <is>
          <t>Marketplace</t>
        </is>
      </c>
      <c r="E22" s="8" t="inlineStr">
        <is>
          <t>reputation</t>
        </is>
      </c>
      <c r="F22" s="8" t="inlineStr">
        <is>
          <t>Reseñas solo de servicios completados y reputación pública confiable.</t>
        </is>
      </c>
      <c r="G22" s="8" t="inlineStr">
        <is>
          <t>Review, ReviewDimensionScore, ReviewResponse, ReputationSnapshot</t>
        </is>
      </c>
    </row>
    <row r="23" ht="62" customHeight="1">
      <c r="A23" s="6" t="inlineStr">
        <is>
          <t>16</t>
        </is>
      </c>
      <c r="B23" s="6" t="inlineStr">
        <is>
          <t>MKT</t>
        </is>
      </c>
      <c r="C23" s="8" t="inlineStr">
        <is>
          <t>Promociones y Precios</t>
        </is>
      </c>
      <c r="D23" s="8" t="inlineStr">
        <is>
          <t>Marketplace</t>
        </is>
      </c>
      <c r="E23" s="8" t="inlineStr">
        <is>
          <t>marketing</t>
        </is>
      </c>
      <c r="F23" s="8" t="inlineStr">
        <is>
          <t>Promociones, cupones, flash sales y precios dinámicos opcionales.</t>
        </is>
      </c>
      <c r="G23" s="8" t="inlineStr">
        <is>
          <t>Promotion, PromotionRule, Coupon, CouponRedemption, FlashSale, PricingRule</t>
        </is>
      </c>
    </row>
    <row r="24" ht="62" customHeight="1">
      <c r="A24" s="6" t="inlineStr">
        <is>
          <t>17</t>
        </is>
      </c>
      <c r="B24" s="6" t="inlineStr">
        <is>
          <t>PAY</t>
        </is>
      </c>
      <c r="C24" s="8" t="inlineStr">
        <is>
          <t>Pagos y Finanzas</t>
        </is>
      </c>
      <c r="D24" s="8" t="inlineStr">
        <is>
          <t>Dinero</t>
        </is>
      </c>
      <c r="E24" s="8" t="inlineStr">
        <is>
          <t>payments</t>
        </is>
      </c>
      <c r="F24" s="8" t="inlineStr">
        <is>
          <t>Cobros reales con proveedor autorizado, comisión, ledger de doble entrada, reembolsos y payouts. Sin escrow propio.</t>
        </is>
      </c>
      <c r="G24" s="8" t="inlineStr">
        <is>
          <t>PaymentMethod, PaymentIntent, PaymentTransaction, LedgerEntry, PlatformFeeRule, Receipt, Refund, Payout, WebhookInbox</t>
        </is>
      </c>
    </row>
    <row r="25" ht="62" customHeight="1">
      <c r="A25" s="6" t="inlineStr">
        <is>
          <t>18</t>
        </is>
      </c>
      <c r="B25" s="6" t="inlineStr">
        <is>
          <t>MON</t>
        </is>
      </c>
      <c r="C25" s="8" t="inlineStr">
        <is>
          <t>Monetización y Publicidad</t>
        </is>
      </c>
      <c r="D25" s="8" t="inlineStr">
        <is>
          <t>Dinero</t>
        </is>
      </c>
      <c r="E25" s="8" t="inlineStr">
        <is>
          <t>billing</t>
        </is>
      </c>
      <c r="F25" s="8" t="inlineStr">
        <is>
          <t>Cómo gana dinero Owney: comisión facturada con comprobante fiscal, planes para profesionales y publicidad (destacados y posts promocionados).</t>
        </is>
      </c>
      <c r="G25" s="8" t="inlineStr">
        <is>
          <t>SubscriptionPlan, PlanEntitlement, ProviderSubscription, OwneyInvoice, FiscalSequence, ElectronicFiscalDocument, PromotedListing, PostBoost</t>
        </is>
      </c>
    </row>
    <row r="26" ht="62" customHeight="1">
      <c r="A26" s="6" t="inlineStr">
        <is>
          <t>19</t>
        </is>
      </c>
      <c r="B26" s="6" t="inlineStr">
        <is>
          <t>LOY</t>
        </is>
      </c>
      <c r="C26" s="8" t="inlineStr">
        <is>
          <t>Wallet y Fidelización</t>
        </is>
      </c>
      <c r="D26" s="8" t="inlineStr">
        <is>
          <t>Dinero</t>
        </is>
      </c>
      <c r="E26" s="8" t="inlineStr">
        <is>
          <t>loyalty</t>
        </is>
      </c>
      <c r="F26" s="8" t="inlineStr">
        <is>
          <t>Créditos, gift cards, puntos, niveles, referidos, membresías y paquetes.</t>
        </is>
      </c>
      <c r="G26" s="8" t="inlineStr">
        <is>
          <t>WalletAccount, WalletTransaction, GiftCard, RewardAccount, Tier, Referral, MembershipPlan, PackageDefinition</t>
        </is>
      </c>
    </row>
    <row r="27" ht="62" customHeight="1">
      <c r="A27" s="6" t="inlineStr">
        <is>
          <t>20</t>
        </is>
      </c>
      <c r="B27" s="6" t="inlineStr">
        <is>
          <t>BIZ</t>
        </is>
      </c>
      <c r="C27" s="8" t="inlineStr">
        <is>
          <t>Negocios y Equipo</t>
        </is>
      </c>
      <c r="D27" s="8" t="inlineStr">
        <is>
          <t>Negocios</t>
        </is>
      </c>
      <c r="E27" s="8" t="inlineStr">
        <is>
          <t>business</t>
        </is>
      </c>
      <c r="F27" s="8" t="inlineStr">
        <is>
          <t>Salones, spas y barberías con sucursales, empleados, roles, turnos y comisiones.</t>
        </is>
      </c>
      <c r="G27" s="8" t="inlineStr">
        <is>
          <t>Business, Branch, EmployeeMembership, BusinessRole, Invitation, Shift, Absence, CommissionRule</t>
        </is>
      </c>
    </row>
    <row r="28" ht="62" customHeight="1">
      <c r="A28" s="6" t="inlineStr">
        <is>
          <t>21</t>
        </is>
      </c>
      <c r="B28" s="6" t="inlineStr">
        <is>
          <t>BOP</t>
        </is>
      </c>
      <c r="C28" s="8" t="inlineStr">
        <is>
          <t>CRM, POS e Inventario</t>
        </is>
      </c>
      <c r="D28" s="8" t="inlineStr">
        <is>
          <t>Negocios</t>
        </is>
      </c>
      <c r="E28" s="8" t="inlineStr">
        <is>
          <t>businessops</t>
        </is>
      </c>
      <c r="F28" s="8" t="inlineStr">
        <is>
          <t>Operación diaria del salón: clientes, caja/punto de venta e inventario.</t>
        </is>
      </c>
      <c r="G28" s="8" t="inlineStr">
        <is>
          <t>CustomerRecord, Segment, PosOrder, PosLine, CashRegisterSession, Product, InventoryMovement</t>
        </is>
      </c>
    </row>
    <row r="29" ht="62" customHeight="1">
      <c r="A29" s="6" t="inlineStr">
        <is>
          <t>22</t>
        </is>
      </c>
      <c r="B29" s="6" t="inlineStr">
        <is>
          <t>ANA</t>
        </is>
      </c>
      <c r="C29" s="8" t="inlineStr">
        <is>
          <t>Analítica</t>
        </is>
      </c>
      <c r="D29" s="8" t="inlineStr">
        <is>
          <t>Crecimiento</t>
        </is>
      </c>
      <c r="E29" s="8" t="inlineStr">
        <is>
          <t>analytics</t>
        </is>
      </c>
      <c r="F29" s="8" t="inlineStr">
        <is>
          <t>Métricas con definición única para Owney, profesionales, negocios y creadores de contenido.</t>
        </is>
      </c>
      <c r="G29" s="8" t="inlineStr">
        <is>
          <t>MetricDefinition, AnalyticsEvent, ProviderDailyStats, ContentStats</t>
        </is>
      </c>
    </row>
    <row r="30" ht="62" customHeight="1">
      <c r="A30" s="6" t="inlineStr">
        <is>
          <t>23</t>
        </is>
      </c>
      <c r="B30" s="6" t="inlineStr">
        <is>
          <t>EVT</t>
        </is>
      </c>
      <c r="C30" s="8" t="inlineStr">
        <is>
          <t>Eventos y Squad</t>
        </is>
      </c>
      <c r="D30" s="8" t="inlineStr">
        <is>
          <t>Crecimiento</t>
        </is>
      </c>
      <c r="E30" s="8" t="inlineStr">
        <is>
          <t>events</t>
        </is>
      </c>
      <c r="F30" s="8" t="inlineStr">
        <is>
          <t>Bodas, quinceañeras y eventos grupales con varios participantes y profesionales.</t>
        </is>
      </c>
      <c r="G30" s="8" t="inlineStr">
        <is>
          <t>Event, EventParticipant, EventServiceAssignment, EventScheduleItem, SquadProposal</t>
        </is>
      </c>
    </row>
    <row r="31" ht="62" customHeight="1">
      <c r="A31" s="6" t="inlineStr">
        <is>
          <t>24</t>
        </is>
      </c>
      <c r="B31" s="6" t="inlineStr">
        <is>
          <t>AI</t>
        </is>
      </c>
      <c r="C31" s="8" t="inlineStr">
        <is>
          <t>Inteligencia Artificial</t>
        </is>
      </c>
      <c r="D31" s="8" t="inlineStr">
        <is>
          <t>Crecimiento</t>
        </is>
      </c>
      <c r="E31" s="8" t="inlineStr">
        <is>
          <t>ai</t>
        </is>
      </c>
      <c r="F31" s="8" t="inlineStr">
        <is>
          <t>Beauty Match por imagen y asistente de negocio que recomienda sin ejecutar acciones económicas sin confirmación.</t>
        </is>
      </c>
      <c r="G31" s="8" t="inlineStr">
        <is>
          <t>AiProviderConfig, StyleTaxonomy, ImageEmbedding, AssistantSession, AssistantAction</t>
        </is>
      </c>
    </row>
    <row r="32" ht="62" customHeight="1">
      <c r="A32" s="6" t="inlineStr">
        <is>
          <t>25</t>
        </is>
      </c>
      <c r="B32" s="6" t="inlineStr">
        <is>
          <t>SHP</t>
        </is>
      </c>
      <c r="C32" s="8" t="inlineStr">
        <is>
          <t>Tienda de Productos</t>
        </is>
      </c>
      <c r="D32" s="8" t="inlineStr">
        <is>
          <t>Crecimiento</t>
        </is>
      </c>
      <c r="E32" s="8" t="inlineStr">
        <is>
          <t>shop</t>
        </is>
      </c>
      <c r="F32" s="8" t="inlineStr">
        <is>
          <t>Venta de productos de belleza integrada con inventario, pagos y contenido.</t>
        </is>
      </c>
      <c r="G32" s="8" t="inlineStr">
        <is>
          <t>ShopProduct, Cart, Order, OrderLine, Shipment, ProductReview</t>
        </is>
      </c>
    </row>
    <row r="33" ht="62" customHeight="1">
      <c r="A33" s="6" t="inlineStr">
        <is>
          <t>26</t>
        </is>
      </c>
      <c r="B33" s="6" t="inlineStr">
        <is>
          <t>ADM</t>
        </is>
      </c>
      <c r="C33" s="8" t="inlineStr">
        <is>
          <t>Administración y Auditoría</t>
        </is>
      </c>
      <c r="D33" s="8" t="inlineStr">
        <is>
          <t>Gobierno</t>
        </is>
      </c>
      <c r="E33" s="8" t="inlineStr">
        <is>
          <t>host + admin</t>
        </is>
      </c>
      <c r="F33" s="8" t="inlineStr">
        <is>
          <t>Panel interno de Owney: métricas de salud, gestión de usuarios y auditoría de acciones sensibles.</t>
        </is>
      </c>
      <c r="G33" s="8" t="inlineStr">
        <is>
          <t>BusinessAuditEvent, AdminAccessLog (más módulos ABP: Identity, Settings, Features)</t>
        </is>
      </c>
    </row>
    <row r="34" ht="62" customHeight="1">
      <c r="A34" s="6" t="inlineStr">
        <is>
          <t>DEV</t>
        </is>
      </c>
      <c r="B34" s="6" t="inlineStr">
        <is>
          <t>DEV</t>
        </is>
      </c>
      <c r="C34" s="8" t="inlineStr">
        <is>
          <t>Operación, Calidad y Entrega</t>
        </is>
      </c>
      <c r="D34" s="8" t="inlineStr">
        <is>
          <t>Áreas transversales</t>
        </is>
      </c>
      <c r="E34" s="8" t="inlineStr">
        <is>
          <t>—</t>
        </is>
      </c>
      <c r="F34" s="8" t="inlineStr">
        <is>
          <t>Entornos, despliegue en Railway, CI/CD, pruebas, backups, monitoreo y publicación en tiendas. No es un módulo de código: es trabajo de ingeniería continuo.</t>
        </is>
      </c>
      <c r="G34" s="8" t="inlineStr">
        <is>
          <t>—</t>
        </is>
      </c>
    </row>
    <row r="35" ht="62" customHeight="1">
      <c r="A35" s="6" t="inlineStr">
        <is>
          <t>LEG</t>
        </is>
      </c>
      <c r="B35" s="6" t="inlineStr">
        <is>
          <t>LEG</t>
        </is>
      </c>
      <c r="C35" s="8" t="inlineStr">
        <is>
          <t>Cumplimiento Legal y Fiscal</t>
        </is>
      </c>
      <c r="D35" s="8" t="inlineStr">
        <is>
          <t>Áreas transversales</t>
        </is>
      </c>
      <c r="E35" s="8" t="inlineStr">
        <is>
          <t>—</t>
        </is>
      </c>
      <c r="F35" s="8" t="inlineStr">
        <is>
          <t>Lo necesario para operar legalmente en República Dominicana. Gran parte se hace con abogado y contador; aquí se controla qué debe implementar el producto y cuándo. Validar cada punto con asesoría local.</t>
        </is>
      </c>
      <c r="G35" s="8" t="inlineStr">
        <is>
          <t>—</t>
        </is>
      </c>
    </row>
  </sheetData>
  <pageMargins left="0.75" right="0.75" top="1" bottom="1" header="0.5" footer="0.5"/>
  <pageSetup orientation="landscape" fitToWidth="1"/>
  <drawing xmlns:r="http://schemas.openxmlformats.org/officeDocument/2006/relationships" r:id="rId1"/>
</worksheet>
</file>

<file path=xl/worksheets/sheet5.xml><?xml version="1.0" encoding="utf-8"?>
<worksheet xmlns="http://schemas.openxmlformats.org/spreadsheetml/2006/main">
  <sheetPr>
    <tabColor rgb="00BFBFBF"/>
    <outlinePr summaryBelow="1" summaryRight="1"/>
    <pageSetUpPr/>
  </sheetPr>
  <dimension ref="A1:D18"/>
  <sheetViews>
    <sheetView workbookViewId="0">
      <selection activeCell="A1" sqref="A1"/>
    </sheetView>
  </sheetViews>
  <sheetFormatPr baseColWidth="8" defaultRowHeight="15"/>
  <cols>
    <col width="4" customWidth="1" min="1" max="1"/>
    <col width="26" customWidth="1" min="2" max="2"/>
    <col width="95" customWidth="1" min="3" max="3"/>
  </cols>
  <sheetData>
    <row r="1" ht="24" customHeight="1">
      <c r="A1" s="1" t="n"/>
      <c r="B1" s="1" t="n"/>
      <c r="C1" s="1" t="n"/>
      <c r="D1" s="1" t="n"/>
    </row>
    <row r="2" ht="24" customHeight="1">
      <c r="A2" s="1" t="n"/>
      <c r="B2" s="1" t="n"/>
      <c r="C2" s="2" t="inlineStr">
        <is>
          <t>Cómo usar este archivo</t>
        </is>
      </c>
      <c r="D2" s="1" t="n"/>
    </row>
    <row r="3" ht="24" customHeight="1">
      <c r="A3" s="1" t="n"/>
      <c r="B3" s="1" t="n"/>
      <c r="C3" s="3" t="inlineStr">
        <is>
          <t>Owney Beauty · Control de Desarrollo</t>
        </is>
      </c>
      <c r="D3" s="1" t="n"/>
    </row>
    <row r="4" ht="24" customHeight="1">
      <c r="A4" s="1" t="n"/>
      <c r="B4" s="1" t="n"/>
      <c r="C4" s="1" t="n"/>
      <c r="D4" s="1" t="n"/>
    </row>
    <row r="7" ht="32" customHeight="1">
      <c r="B7" s="25" t="inlineStr">
        <is>
          <t>1. Marcar avance</t>
        </is>
      </c>
      <c r="C7" s="31" t="inlineStr">
        <is>
          <t>En «Plan de Desarrollo», cambia la columna Estado. ☐ Pendiente · ◐ En progreso · ☑ Completo.</t>
        </is>
      </c>
    </row>
    <row r="8" ht="32" customHeight="1">
      <c r="B8" s="25" t="inlineStr">
        <is>
          <t>2. Orden</t>
        </is>
      </c>
      <c r="C8" s="31" t="inlineStr">
        <is>
          <t>La columna Orden es la prioridad: trabaja de arriba hacia abajo. El orden sigue los sprints.</t>
        </is>
      </c>
    </row>
    <row r="9" ht="32" customHeight="1">
      <c r="B9" s="25" t="inlineStr">
        <is>
          <t>3. Completo</t>
        </is>
      </c>
      <c r="C9" s="31" t="inlineStr">
        <is>
          <t>Solo marca Completo cuando cumple la Definition of Done (ver guía PDF): probado, seguro, auditado y desplegado en staging.</t>
        </is>
      </c>
    </row>
    <row r="10" ht="32" customHeight="1">
      <c r="B10" s="25" t="inlineStr">
        <is>
          <t>4. Filtros</t>
        </is>
      </c>
      <c r="C10" s="31" t="inlineStr">
        <is>
          <t>Usa los filtros del encabezado para ver un módulo, una fase, un sprint o solo lo pendiente.</t>
        </is>
      </c>
    </row>
    <row r="11" ht="32" customHeight="1">
      <c r="B11" s="25" t="inlineStr">
        <is>
          <t>5. Resumen</t>
        </is>
      </c>
      <c r="C11" s="31" t="inlineStr">
        <is>
          <t>Las hojas Resumen y Sprints se recalculan solas con fórmulas; no las edites a mano.</t>
        </is>
      </c>
    </row>
    <row r="12" ht="32" customHeight="1">
      <c r="B12" s="25" t="inlineStr">
        <is>
          <t>Imprescindible</t>
        </is>
      </c>
      <c r="C12" s="31" t="inlineStr">
        <is>
          <t>Sin esto no se puede lanzar ni cobrar. (Fundación + MVP, S0–S13).</t>
        </is>
      </c>
    </row>
    <row r="13" ht="32" customHeight="1">
      <c r="B13" s="25" t="inlineStr">
        <is>
          <t>Esencial</t>
        </is>
      </c>
      <c r="C13" s="31" t="inlineStr">
        <is>
          <t>Necesario para retener usuarios y crecer después del lanzamiento. (V1, S14–S20).</t>
        </is>
      </c>
    </row>
    <row r="14" ht="32" customHeight="1">
      <c r="B14" s="25" t="inlineStr">
        <is>
          <t>Expansión</t>
        </is>
      </c>
      <c r="C14" s="31" t="inlineStr">
        <is>
          <t>Abre nuevas fuentes de ingreso (negocios y salones). (V2, S21–S28).</t>
        </is>
      </c>
    </row>
    <row r="15" ht="32" customHeight="1">
      <c r="B15" s="25" t="inlineStr">
        <is>
          <t>Visión</t>
        </is>
      </c>
      <c r="C15" s="31" t="inlineStr">
        <is>
          <t>Diferenciación de largo plazo. (V3, S29–S34).</t>
        </is>
      </c>
    </row>
    <row r="16" ht="32" customHeight="1">
      <c r="B16" s="25" t="inlineStr">
        <is>
          <t>Mantenimiento</t>
        </is>
      </c>
      <c r="C16" s="31" t="inlineStr">
        <is>
          <t>Catálogos, configuraciones, reglas y datos maestros que se administran (CRUD).</t>
        </is>
      </c>
    </row>
    <row r="17" ht="32" customHeight="1">
      <c r="B17" s="25" t="inlineStr">
        <is>
          <t>Funcionalidad</t>
        </is>
      </c>
      <c r="C17" s="31" t="inlineStr">
        <is>
          <t>Casos de uso y flujos de negocio que operan sobre esos datos.</t>
        </is>
      </c>
    </row>
    <row r="18" ht="32" customHeight="1">
      <c r="B18" s="25" t="inlineStr">
        <is>
          <t>Historias</t>
        </is>
      </c>
      <c r="C18" s="31" t="inlineStr">
        <is>
          <t>Referencia a las historias del Documento Maestro (OB-xx-xxx, TECH, QA…), donde están los criterios de aceptación.</t>
        </is>
      </c>
    </row>
  </sheetData>
  <pageMargins left="0.75" right="0.75" top="1" bottom="1" header="0.5" footer="0.5"/>
  <pageSetup orientation="landscape"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2026-10-09T00:50:06Z</dcterms:created>
  <dcterms:modified xsi:type="dcterms:W3CDTF">2026-10-09T02:11:02Z</dcterms:modified>
</cp:coreProperties>
</file>